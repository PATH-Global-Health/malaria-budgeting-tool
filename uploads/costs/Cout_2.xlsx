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thompson\OneDrive - PATH\Documents\github\malaria-budgeting-tool\uploads\costs\"/>
    </mc:Choice>
  </mc:AlternateContent>
  <xr:revisionPtr revIDLastSave="0" documentId="13_ncr:1_{B99E8DB9-7501-4A80-96D9-79D0831E2625}" xr6:coauthVersionLast="47" xr6:coauthVersionMax="47" xr10:uidLastSave="{00000000-0000-0000-0000-000000000000}"/>
  <bookViews>
    <workbookView xWindow="-120" yWindow="-120" windowWidth="29040" windowHeight="15840" xr2:uid="{E72D83C0-31FE-469B-BB4E-361133B71EB0}"/>
  </bookViews>
  <sheets>
    <sheet name="couts_unitaires_data" sheetId="1" r:id="rId1"/>
    <sheet name="list-items-igno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<sst xmlns="http://schemas.openxmlformats.org/spreadsheetml/2006/main" count="218" uniqueCount="105">
  <si>
    <t>code_intervention</t>
  </si>
  <si>
    <t>type_intervention</t>
  </si>
  <si>
    <t>cout_classe</t>
  </si>
  <si>
    <t>unite</t>
  </si>
  <si>
    <t>cout_monnaie_locale</t>
  </si>
  <si>
    <t>cout_usd</t>
  </si>
  <si>
    <t>notes</t>
  </si>
  <si>
    <t>source</t>
  </si>
  <si>
    <t>Dual AI</t>
  </si>
  <si>
    <t xml:space="preserve">PBO </t>
  </si>
  <si>
    <t>Standard Pyrethroid</t>
  </si>
  <si>
    <t>Distribution</t>
  </si>
  <si>
    <t>per bale</t>
  </si>
  <si>
    <t>Net Storage</t>
  </si>
  <si>
    <t>vacc</t>
  </si>
  <si>
    <t>R21</t>
  </si>
  <si>
    <t>SP+AQ</t>
  </si>
  <si>
    <t>per SPAQ pack 3-11 month olds</t>
  </si>
  <si>
    <t>per SPAQ pack 12-59 month olds</t>
  </si>
  <si>
    <t>SP</t>
  </si>
  <si>
    <t>per SP</t>
  </si>
  <si>
    <t>AL</t>
  </si>
  <si>
    <t>per AL</t>
  </si>
  <si>
    <t>Artesunate injections</t>
  </si>
  <si>
    <t>per 60mg powder</t>
  </si>
  <si>
    <t>RAS</t>
  </si>
  <si>
    <t>per RAS</t>
  </si>
  <si>
    <t>RDT kits</t>
  </si>
  <si>
    <t>per RDT kit</t>
  </si>
  <si>
    <t>prise_en_charge_public</t>
  </si>
  <si>
    <t>par MII</t>
  </si>
  <si>
    <t>prise_en_charge_prive</t>
  </si>
  <si>
    <t>Tpip</t>
  </si>
  <si>
    <t xml:space="preserve">SP+AS </t>
  </si>
  <si>
    <t>par dose</t>
  </si>
  <si>
    <t>cps</t>
  </si>
  <si>
    <t>AS+AQ</t>
  </si>
  <si>
    <t>cpp</t>
  </si>
  <si>
    <t>DHAP</t>
  </si>
  <si>
    <t>RTSS</t>
  </si>
  <si>
    <t>pier</t>
  </si>
  <si>
    <t>ggl</t>
  </si>
  <si>
    <t>2GARD</t>
  </si>
  <si>
    <t>par kit TDR</t>
  </si>
  <si>
    <t>mii_campagne</t>
  </si>
  <si>
    <t>Actellic 300CS</t>
  </si>
  <si>
    <t>mii_routine</t>
  </si>
  <si>
    <t>Bistar 10WP</t>
  </si>
  <si>
    <t>par 60mg poudre</t>
  </si>
  <si>
    <t>FastM</t>
  </si>
  <si>
    <t>par enfant</t>
  </si>
  <si>
    <t>Fendona 10 SC</t>
  </si>
  <si>
    <t>par annee</t>
  </si>
  <si>
    <t>Fendona 5 WP</t>
  </si>
  <si>
    <t>par province</t>
  </si>
  <si>
    <t>Fendona 6 SC</t>
  </si>
  <si>
    <t>par region</t>
  </si>
  <si>
    <t>Ficam</t>
  </si>
  <si>
    <t>par fosa</t>
  </si>
  <si>
    <t>Fludora Fusion</t>
  </si>
  <si>
    <t>Cout fixe</t>
  </si>
  <si>
    <t>ICON 10  CS - IRS</t>
  </si>
  <si>
    <t>Icon WP</t>
  </si>
  <si>
    <t>K-Othrine Polyzone</t>
  </si>
  <si>
    <t>K-Othrine WG250</t>
  </si>
  <si>
    <t>Klypson 500 WG</t>
  </si>
  <si>
    <t>Lambda-cyhalothrin 10% WP</t>
  </si>
  <si>
    <t>PALI 250 WG</t>
  </si>
  <si>
    <t>Pendulum 10 SC</t>
  </si>
  <si>
    <t>Pendulum 6 SC</t>
  </si>
  <si>
    <t>REVIVAL 100 CS</t>
  </si>
  <si>
    <t>REVIVAL 100 WP</t>
  </si>
  <si>
    <t>RUBI 100 SC</t>
  </si>
  <si>
    <t>RUBI 100 WP</t>
  </si>
  <si>
    <t>RUBI 250 WG-SB</t>
  </si>
  <si>
    <t>RUBI 50 SC</t>
  </si>
  <si>
    <t>RUBI 50 WP</t>
  </si>
  <si>
    <t>SOVRENTA 15WP</t>
  </si>
  <si>
    <t>SumiShield 50WG</t>
  </si>
  <si>
    <t>Sylando 240 SC</t>
  </si>
  <si>
    <t>Vectron 20WP</t>
  </si>
  <si>
    <t>VECTRON T500</t>
  </si>
  <si>
    <t>Habitat Modification</t>
  </si>
  <si>
    <t>Habitat Manipulation</t>
  </si>
  <si>
    <t>Control biologique</t>
  </si>
  <si>
    <t xml:space="preserve">Larviciding </t>
  </si>
  <si>
    <t>Campagne</t>
  </si>
  <si>
    <t>Injections d'Artesunate</t>
  </si>
  <si>
    <t>kit TDR</t>
  </si>
  <si>
    <t>Vue d'ensemble</t>
  </si>
  <si>
    <t>demo random generated costs</t>
  </si>
  <si>
    <t>Approvisionnement</t>
  </si>
  <si>
    <t>Opérationnelle</t>
  </si>
  <si>
    <t>Soutien</t>
  </si>
  <si>
    <t>cout_classe_autre</t>
  </si>
  <si>
    <t>description</t>
  </si>
  <si>
    <t>taux_de_change</t>
  </si>
  <si>
    <t>cout_annee_pour_analyse</t>
  </si>
  <si>
    <t>cout_unitaire_d'origine</t>
  </si>
  <si>
    <t>cout_unitaire_original_annee</t>
  </si>
  <si>
    <t>facteur_d'inflation_initial_à_l'annee_d'analyse</t>
  </si>
  <si>
    <t>Coût annuel de l'entrepôt au niveau national</t>
  </si>
  <si>
    <t>prix de départ du vaccin la première année</t>
  </si>
  <si>
    <t>augmentation du prix des vaccins année 2</t>
  </si>
  <si>
    <t>augmentation du prix des vaccins année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</si>
</sst>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0.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33" borderId="0" xfId="0" applyFill="1"/>
    <xf numFmtId="43" fontId="0" fillId="0" borderId="0" xfId="47" applyFont="1"/>
    <xf numFmtId="0" fontId="16" fillId="0" borderId="0" xfId="0" applyFont="1" applyAlignment="1">
      <alignment wrapText="1"/>
    </xf>
    <xf numFmtId="165" fontId="0" fillId="0" borderId="0" xfId="0" applyNumberFormat="1"/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omma 2" xfId="42" xr:uid="{17EB19C5-69DC-49AB-9110-82B393D19B1C}"/>
    <cellStyle name="Comma 2 4" xfId="43" xr:uid="{ABEAA4D4-DC52-4209-8573-BB37C2D68E41}"/>
    <cellStyle name="Comma 3" xfId="44" xr:uid="{DE16A522-7D9B-42DA-9226-D497A3B652DD}"/>
    <cellStyle name="Comma 5" xfId="46" xr:uid="{10294644-2E6B-47CD-A11E-14124CB5A2EC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5" xr:uid="{70B4929A-C375-4D8C-BA99-07C2EC010D9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447674</xdr:colOff>
      <xdr:row>0</xdr:row>
      <xdr:rowOff>123825</xdr:rowOff>
    </xdr:from>
    <xdr:ext cx="3622675" cy="4159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8CF02F-42AA-28D0-EB05-B70B2291683B}"/>
            </a:ext>
          </a:extLst>
        </xdr:cNvPr>
        <xdr:cNvSpPr txBox="1"/>
      </xdr:nvSpPr>
      <xdr:spPr>
        <a:xfrm>
          <a:off x="5934074" y="123825"/>
          <a:ext cx="3622675" cy="415925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 b="1"/>
            <a:t>Les menus déroulants proviennent de ces menus d'éléments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selection activeCell="E7" sqref="E7"/>
    </sheetView>
  </sheetViews>
  <sheetFormatPr defaultRowHeight="15" x14ac:dyDescent="0.25"/>
  <cols>
    <col min="1" max="1" width="19" customWidth="1"/>
    <col min="2" max="2" width="20.28515625" customWidth="1"/>
    <col min="3" max="3" width="18.42578125" bestFit="1" customWidth="1"/>
    <col min="4" max="4" width="13.28515625" customWidth="1"/>
    <col min="5" max="5" width="21.42578125" customWidth="1"/>
    <col min="6" max="6" width="40.7109375" bestFit="1" customWidth="1"/>
    <col min="7" max="7" width="14.28515625" bestFit="1" customWidth="1"/>
    <col min="8" max="8" width="11.7109375" customWidth="1"/>
    <col min="9" max="9" width="9.5703125" bestFit="1" customWidth="1"/>
  </cols>
  <sheetData>
    <row r="1" spans="1:15" ht="90" x14ac:dyDescent="0.25">
      <c r="A1" s="3" t="s">
        <v>0</v>
      </c>
      <c r="B1" s="3" t="s">
        <v>1</v>
      </c>
      <c r="C1" s="3" t="s">
        <v>2</v>
      </c>
      <c r="D1" s="3" t="s">
        <v>94</v>
      </c>
      <c r="E1" s="3" t="s">
        <v>95</v>
      </c>
      <c r="F1" s="3" t="s">
        <v>3</v>
      </c>
      <c r="G1" s="3" t="s">
        <v>4</v>
      </c>
      <c r="H1" s="3" t="s">
        <v>96</v>
      </c>
      <c r="I1" s="3" t="s">
        <v>5</v>
      </c>
      <c r="J1" s="3" t="s">
        <v>97</v>
      </c>
      <c r="K1" s="3" t="s">
        <v>98</v>
      </c>
      <c r="L1" s="3" t="s">
        <v>99</v>
      </c>
      <c r="M1" s="3" t="s">
        <v>100</v>
      </c>
      <c r="N1" s="3" t="s">
        <v>6</v>
      </c>
      <c r="O1" s="3" t="s">
        <v>7</v>
      </c>
    </row>
    <row r="2" spans="1:15" x14ac:dyDescent="0.25">
      <c r="A2" t="s">
        <v>44</v>
      </c>
      <c r="B2" t="s">
        <v>8</v>
      </c>
      <c r="C2" t="s">
        <v>91</v>
      </c>
      <c r="F2" t="s">
        <v>30</v>
      </c>
      <c r="G2" s="2">
        <v>11147.67</v>
      </c>
      <c r="H2" s="4">
        <f>I2/G2</f>
        <v>3.4356955309943691E-4</v>
      </c>
      <c r="I2" s="2">
        <v>3.83</v>
      </c>
      <c r="O2" t="s">
        <v>90</v>
      </c>
    </row>
    <row r="3" spans="1:15" x14ac:dyDescent="0.25">
      <c r="A3" t="s">
        <v>44</v>
      </c>
      <c r="B3" t="s">
        <v>9</v>
      </c>
      <c r="C3" t="s">
        <v>91</v>
      </c>
      <c r="F3" t="s">
        <v>30</v>
      </c>
      <c r="G3" s="2"/>
      <c r="I3" s="2"/>
    </row>
    <row r="4" spans="1:15" x14ac:dyDescent="0.25">
      <c r="A4" t="s">
        <v>44</v>
      </c>
      <c r="B4" t="s">
        <v>10</v>
      </c>
      <c r="C4" t="s">
        <v>91</v>
      </c>
      <c r="F4" t="s">
        <v>30</v>
      </c>
      <c r="G4" s="2"/>
      <c r="I4" s="2"/>
    </row>
    <row r="5" spans="1:15" x14ac:dyDescent="0.25">
      <c r="A5" t="s">
        <v>44</v>
      </c>
      <c r="B5" t="s">
        <v>8</v>
      </c>
      <c r="C5" t="s">
        <v>11</v>
      </c>
      <c r="F5" t="s">
        <v>12</v>
      </c>
      <c r="G5" s="2">
        <v>23459.599999999999</v>
      </c>
      <c r="I5" s="2">
        <v>8.06</v>
      </c>
    </row>
    <row r="6" spans="1:15" x14ac:dyDescent="0.25">
      <c r="A6" t="s">
        <v>44</v>
      </c>
      <c r="B6" t="s">
        <v>8</v>
      </c>
      <c r="C6" t="s">
        <v>92</v>
      </c>
      <c r="F6" t="s">
        <v>30</v>
      </c>
      <c r="G6" s="2">
        <v>291.06</v>
      </c>
      <c r="I6" s="2">
        <v>0.1</v>
      </c>
    </row>
    <row r="7" spans="1:15" x14ac:dyDescent="0.25">
      <c r="A7" t="s">
        <v>44</v>
      </c>
      <c r="B7" t="s">
        <v>60</v>
      </c>
      <c r="C7" t="s">
        <v>93</v>
      </c>
      <c r="E7" t="s">
        <v>101</v>
      </c>
      <c r="F7" t="s">
        <v>52</v>
      </c>
      <c r="G7" s="2">
        <v>13859179.560000001</v>
      </c>
      <c r="I7" s="2">
        <v>4761.59</v>
      </c>
    </row>
    <row r="8" spans="1:15" x14ac:dyDescent="0.25">
      <c r="A8" t="s">
        <v>46</v>
      </c>
      <c r="B8" t="s">
        <v>8</v>
      </c>
      <c r="C8" t="s">
        <v>91</v>
      </c>
      <c r="F8" t="s">
        <v>30</v>
      </c>
      <c r="G8" s="2">
        <v>11147.67</v>
      </c>
      <c r="I8" s="2">
        <v>3.83</v>
      </c>
    </row>
    <row r="9" spans="1:15" x14ac:dyDescent="0.25">
      <c r="A9" t="s">
        <v>46</v>
      </c>
      <c r="B9" t="s">
        <v>9</v>
      </c>
      <c r="C9" t="s">
        <v>91</v>
      </c>
      <c r="F9" t="s">
        <v>30</v>
      </c>
      <c r="G9" s="2"/>
      <c r="I9" s="2"/>
    </row>
    <row r="10" spans="1:15" x14ac:dyDescent="0.25">
      <c r="A10" t="s">
        <v>46</v>
      </c>
      <c r="B10" t="s">
        <v>10</v>
      </c>
      <c r="C10" t="s">
        <v>91</v>
      </c>
      <c r="F10" t="s">
        <v>30</v>
      </c>
      <c r="G10" s="2"/>
      <c r="I10" s="2"/>
    </row>
    <row r="11" spans="1:15" x14ac:dyDescent="0.25">
      <c r="A11" t="s">
        <v>46</v>
      </c>
      <c r="B11" t="s">
        <v>8</v>
      </c>
      <c r="C11" t="s">
        <v>92</v>
      </c>
      <c r="F11" t="s">
        <v>30</v>
      </c>
      <c r="G11" s="2">
        <v>3027.04</v>
      </c>
      <c r="I11" s="2">
        <v>1.04</v>
      </c>
    </row>
    <row r="12" spans="1:15" x14ac:dyDescent="0.25">
      <c r="A12" t="s">
        <v>14</v>
      </c>
      <c r="B12" t="s">
        <v>15</v>
      </c>
      <c r="C12" t="s">
        <v>91</v>
      </c>
      <c r="F12" t="s">
        <v>34</v>
      </c>
      <c r="G12" s="2">
        <v>11584.27</v>
      </c>
      <c r="I12" s="2">
        <v>3.98</v>
      </c>
      <c r="J12">
        <v>2026</v>
      </c>
      <c r="N12" t="s">
        <v>102</v>
      </c>
    </row>
    <row r="13" spans="1:15" x14ac:dyDescent="0.25">
      <c r="A13" t="s">
        <v>14</v>
      </c>
      <c r="B13" t="s">
        <v>15</v>
      </c>
      <c r="C13" t="s">
        <v>91</v>
      </c>
      <c r="F13" t="s">
        <v>34</v>
      </c>
      <c r="G13" s="2">
        <v>12224.6</v>
      </c>
      <c r="I13" s="2">
        <v>4.2</v>
      </c>
      <c r="J13">
        <v>2027</v>
      </c>
      <c r="N13" t="s">
        <v>103</v>
      </c>
    </row>
    <row r="14" spans="1:15" x14ac:dyDescent="0.25">
      <c r="A14" t="s">
        <v>14</v>
      </c>
      <c r="B14" t="s">
        <v>15</v>
      </c>
      <c r="C14" t="s">
        <v>91</v>
      </c>
      <c r="F14" t="s">
        <v>34</v>
      </c>
      <c r="G14" s="2">
        <v>14553.1</v>
      </c>
      <c r="I14" s="2">
        <v>5</v>
      </c>
      <c r="J14">
        <v>2028</v>
      </c>
      <c r="N14" t="s">
        <v>104</v>
      </c>
    </row>
    <row r="15" spans="1:15" x14ac:dyDescent="0.25">
      <c r="A15" t="s">
        <v>14</v>
      </c>
      <c r="B15" t="s">
        <v>15</v>
      </c>
      <c r="C15" t="s">
        <v>92</v>
      </c>
      <c r="F15" t="s">
        <v>50</v>
      </c>
      <c r="G15" s="2">
        <v>1862.8</v>
      </c>
      <c r="I15" s="2">
        <v>0.64</v>
      </c>
    </row>
    <row r="16" spans="1:15" x14ac:dyDescent="0.25">
      <c r="A16" t="s">
        <v>35</v>
      </c>
      <c r="B16" t="s">
        <v>16</v>
      </c>
      <c r="C16" t="s">
        <v>91</v>
      </c>
      <c r="F16" t="s">
        <v>17</v>
      </c>
    </row>
    <row r="17" spans="1:9" x14ac:dyDescent="0.25">
      <c r="A17" t="s">
        <v>35</v>
      </c>
      <c r="B17" t="s">
        <v>16</v>
      </c>
      <c r="C17" t="s">
        <v>91</v>
      </c>
      <c r="F17" t="s">
        <v>18</v>
      </c>
    </row>
    <row r="18" spans="1:9" x14ac:dyDescent="0.25">
      <c r="A18" t="s">
        <v>35</v>
      </c>
      <c r="B18" t="s">
        <v>16</v>
      </c>
      <c r="C18" t="s">
        <v>92</v>
      </c>
      <c r="F18" t="s">
        <v>50</v>
      </c>
    </row>
    <row r="19" spans="1:9" x14ac:dyDescent="0.25">
      <c r="A19" t="s">
        <v>37</v>
      </c>
      <c r="B19" t="s">
        <v>19</v>
      </c>
      <c r="C19" t="s">
        <v>91</v>
      </c>
      <c r="F19" t="s">
        <v>20</v>
      </c>
      <c r="G19">
        <v>582.12</v>
      </c>
      <c r="I19">
        <v>0.2</v>
      </c>
    </row>
    <row r="20" spans="1:9" x14ac:dyDescent="0.25">
      <c r="A20" t="s">
        <v>37</v>
      </c>
      <c r="B20" t="s">
        <v>19</v>
      </c>
      <c r="C20" t="s">
        <v>92</v>
      </c>
      <c r="F20" t="s">
        <v>50</v>
      </c>
      <c r="G20">
        <v>232.85</v>
      </c>
      <c r="I20">
        <v>0.08</v>
      </c>
    </row>
    <row r="21" spans="1:9" x14ac:dyDescent="0.25">
      <c r="A21" t="s">
        <v>32</v>
      </c>
      <c r="B21" t="s">
        <v>19</v>
      </c>
      <c r="C21" t="s">
        <v>91</v>
      </c>
      <c r="F21" t="s">
        <v>20</v>
      </c>
      <c r="G21">
        <v>1571.73</v>
      </c>
      <c r="I21">
        <v>0.54</v>
      </c>
    </row>
    <row r="22" spans="1:9" x14ac:dyDescent="0.25">
      <c r="A22" t="s">
        <v>32</v>
      </c>
      <c r="B22" t="s">
        <v>19</v>
      </c>
      <c r="C22" t="s">
        <v>92</v>
      </c>
      <c r="F22" t="s">
        <v>20</v>
      </c>
      <c r="G22">
        <v>291.06</v>
      </c>
      <c r="I22">
        <v>0.1</v>
      </c>
    </row>
    <row r="23" spans="1:9" x14ac:dyDescent="0.25">
      <c r="A23" t="s">
        <v>29</v>
      </c>
      <c r="B23" t="s">
        <v>21</v>
      </c>
      <c r="C23" t="s">
        <v>91</v>
      </c>
      <c r="F23" t="s">
        <v>22</v>
      </c>
    </row>
    <row r="24" spans="1:9" x14ac:dyDescent="0.25">
      <c r="A24" t="s">
        <v>29</v>
      </c>
      <c r="B24" t="s">
        <v>21</v>
      </c>
      <c r="C24" t="s">
        <v>11</v>
      </c>
      <c r="F24" t="s">
        <v>22</v>
      </c>
    </row>
    <row r="25" spans="1:9" x14ac:dyDescent="0.25">
      <c r="A25" t="s">
        <v>29</v>
      </c>
      <c r="B25" t="s">
        <v>23</v>
      </c>
      <c r="C25" t="s">
        <v>91</v>
      </c>
      <c r="F25" t="s">
        <v>24</v>
      </c>
    </row>
    <row r="26" spans="1:9" x14ac:dyDescent="0.25">
      <c r="A26" t="s">
        <v>29</v>
      </c>
      <c r="B26" t="s">
        <v>23</v>
      </c>
      <c r="C26" t="s">
        <v>11</v>
      </c>
      <c r="F26" t="s">
        <v>24</v>
      </c>
    </row>
    <row r="27" spans="1:9" x14ac:dyDescent="0.25">
      <c r="A27" t="s">
        <v>29</v>
      </c>
      <c r="B27" t="s">
        <v>25</v>
      </c>
      <c r="C27" t="s">
        <v>91</v>
      </c>
      <c r="F27" t="s">
        <v>26</v>
      </c>
    </row>
    <row r="28" spans="1:9" x14ac:dyDescent="0.25">
      <c r="A28" t="s">
        <v>29</v>
      </c>
      <c r="B28" t="s">
        <v>25</v>
      </c>
      <c r="C28" t="s">
        <v>11</v>
      </c>
      <c r="F28" t="s">
        <v>26</v>
      </c>
    </row>
    <row r="29" spans="1:9" x14ac:dyDescent="0.25">
      <c r="A29" t="s">
        <v>29</v>
      </c>
      <c r="B29" t="s">
        <v>27</v>
      </c>
      <c r="C29" t="s">
        <v>91</v>
      </c>
      <c r="F29" t="s">
        <v>28</v>
      </c>
    </row>
    <row r="30" spans="1:9" x14ac:dyDescent="0.25">
      <c r="A30" t="s">
        <v>29</v>
      </c>
      <c r="B30" t="s">
        <v>27</v>
      </c>
      <c r="C30" t="s">
        <v>11</v>
      </c>
      <c r="F30" t="s">
        <v>28</v>
      </c>
    </row>
    <row r="31" spans="1:9" x14ac:dyDescent="0.25">
      <c r="A31" t="s">
        <v>29</v>
      </c>
      <c r="B31" t="s">
        <v>60</v>
      </c>
      <c r="C31" t="s">
        <v>92</v>
      </c>
      <c r="F31" t="s">
        <v>52</v>
      </c>
    </row>
  </sheetData>
  <dataValidations count="2">
    <dataValidation type="list" showInputMessage="1" showErrorMessage="1" sqref="C32:C1048576" xr:uid="{CF2B6038-255B-4E0E-9990-79C67B911883}">
      <formula1>"Procurement, Distribution, Operational, Support, Other"</formula1>
    </dataValidation>
    <dataValidation type="list" showInputMessage="1" showErrorMessage="1" sqref="C2:C31 E1" xr:uid="{369C8763-61B8-47C8-9ED3-194D8EA06676}">
      <formula1>"Approvisionnement, Distribution, Opérationnelle, Soutien, Autre"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B23E79F-74DE-47A3-AA72-02125CE1366C}">
          <x14:formula1>
            <xm:f>'list-items-ignore'!$B$1:$B$10</xm:f>
          </x14:formula1>
          <xm:sqref>A2:A1048576</xm:sqref>
        </x14:dataValidation>
        <x14:dataValidation type="list" allowBlank="1" showInputMessage="1" showErrorMessage="1" xr:uid="{E5E138DD-4BA1-445F-A665-4841EF8F02BE}">
          <x14:formula1>
            <xm:f>'list-items-ignore'!$D:$D</xm:f>
          </x14:formula1>
          <xm:sqref>B2:B1048576</xm:sqref>
        </x14:dataValidation>
        <x14:dataValidation type="list" allowBlank="1" showInputMessage="1" showErrorMessage="1" xr:uid="{613C0C3E-E487-435C-8D59-412773A42907}">
          <x14:formula1>
            <xm:f>'list-items-ignore'!$G:$G</xm:f>
          </x14:formula1>
          <xm:sqref>D32:D1048576 F2:F31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52"/>
  <sheetViews>
    <sheetView workbookViewId="0">
      <selection activeCell="H9" sqref="H9"/>
    </sheetView>
  </sheetViews>
  <sheetFormatPr defaultRowHeight="15" x14ac:dyDescent="0.25"/>
  <sheetData>
    <row r="1" spans="2:7" x14ac:dyDescent="0.25">
      <c r="B1" t="s">
        <v>29</v>
      </c>
      <c r="D1" s="1" t="s">
        <v>19</v>
      </c>
      <c r="G1" t="s">
        <v>30</v>
      </c>
    </row>
    <row r="2" spans="2:7" x14ac:dyDescent="0.25">
      <c r="B2" t="s">
        <v>31</v>
      </c>
      <c r="D2" s="1" t="s">
        <v>16</v>
      </c>
      <c r="G2" s="1" t="s">
        <v>12</v>
      </c>
    </row>
    <row r="3" spans="2:7" x14ac:dyDescent="0.25">
      <c r="B3" t="s">
        <v>32</v>
      </c>
      <c r="D3" s="1" t="s">
        <v>33</v>
      </c>
      <c r="G3" t="s">
        <v>34</v>
      </c>
    </row>
    <row r="4" spans="2:7" x14ac:dyDescent="0.25">
      <c r="B4" t="s">
        <v>35</v>
      </c>
      <c r="D4" s="1" t="s">
        <v>36</v>
      </c>
      <c r="G4" s="1" t="s">
        <v>17</v>
      </c>
    </row>
    <row r="5" spans="2:7" x14ac:dyDescent="0.25">
      <c r="B5" t="s">
        <v>37</v>
      </c>
      <c r="D5" s="1" t="s">
        <v>38</v>
      </c>
      <c r="G5" s="1" t="s">
        <v>18</v>
      </c>
    </row>
    <row r="6" spans="2:7" x14ac:dyDescent="0.25">
      <c r="B6" t="s">
        <v>14</v>
      </c>
      <c r="D6" t="s">
        <v>39</v>
      </c>
      <c r="G6" s="1" t="s">
        <v>20</v>
      </c>
    </row>
    <row r="7" spans="2:7" x14ac:dyDescent="0.25">
      <c r="B7" t="s">
        <v>40</v>
      </c>
      <c r="D7" t="s">
        <v>15</v>
      </c>
      <c r="G7" s="1" t="s">
        <v>22</v>
      </c>
    </row>
    <row r="8" spans="2:7" x14ac:dyDescent="0.25">
      <c r="B8" t="s">
        <v>41</v>
      </c>
      <c r="D8" s="1" t="s">
        <v>42</v>
      </c>
      <c r="G8" t="s">
        <v>43</v>
      </c>
    </row>
    <row r="9" spans="2:7" x14ac:dyDescent="0.25">
      <c r="B9" t="s">
        <v>44</v>
      </c>
      <c r="D9" s="1" t="s">
        <v>45</v>
      </c>
      <c r="G9" s="1" t="s">
        <v>26</v>
      </c>
    </row>
    <row r="10" spans="2:7" x14ac:dyDescent="0.25">
      <c r="B10" t="s">
        <v>46</v>
      </c>
      <c r="D10" s="1" t="s">
        <v>47</v>
      </c>
      <c r="G10" t="s">
        <v>48</v>
      </c>
    </row>
    <row r="11" spans="2:7" x14ac:dyDescent="0.25">
      <c r="D11" s="1" t="s">
        <v>49</v>
      </c>
      <c r="G11" t="s">
        <v>50</v>
      </c>
    </row>
    <row r="12" spans="2:7" x14ac:dyDescent="0.25">
      <c r="D12" s="1" t="s">
        <v>51</v>
      </c>
      <c r="G12" t="s">
        <v>52</v>
      </c>
    </row>
    <row r="13" spans="2:7" x14ac:dyDescent="0.25">
      <c r="D13" s="1" t="s">
        <v>53</v>
      </c>
      <c r="G13" t="s">
        <v>54</v>
      </c>
    </row>
    <row r="14" spans="2:7" x14ac:dyDescent="0.25">
      <c r="D14" s="1" t="s">
        <v>55</v>
      </c>
      <c r="G14" t="s">
        <v>56</v>
      </c>
    </row>
    <row r="15" spans="2:7" x14ac:dyDescent="0.25">
      <c r="D15" s="1" t="s">
        <v>57</v>
      </c>
      <c r="G15" t="s">
        <v>58</v>
      </c>
    </row>
    <row r="16" spans="2:7" x14ac:dyDescent="0.25">
      <c r="D16" s="1" t="s">
        <v>59</v>
      </c>
      <c r="G16" t="s">
        <v>60</v>
      </c>
    </row>
    <row r="17" spans="4:4" x14ac:dyDescent="0.25">
      <c r="D17" s="1" t="s">
        <v>61</v>
      </c>
    </row>
    <row r="18" spans="4:4" x14ac:dyDescent="0.25">
      <c r="D18" s="1" t="s">
        <v>62</v>
      </c>
    </row>
    <row r="19" spans="4:4" x14ac:dyDescent="0.25">
      <c r="D19" s="1" t="s">
        <v>63</v>
      </c>
    </row>
    <row r="20" spans="4:4" x14ac:dyDescent="0.25">
      <c r="D20" s="1" t="s">
        <v>64</v>
      </c>
    </row>
    <row r="21" spans="4:4" x14ac:dyDescent="0.25">
      <c r="D21" s="1" t="s">
        <v>65</v>
      </c>
    </row>
    <row r="22" spans="4:4" x14ac:dyDescent="0.25">
      <c r="D22" s="1" t="s">
        <v>66</v>
      </c>
    </row>
    <row r="23" spans="4:4" x14ac:dyDescent="0.25">
      <c r="D23" s="1" t="s">
        <v>67</v>
      </c>
    </row>
    <row r="24" spans="4:4" x14ac:dyDescent="0.25">
      <c r="D24" s="1" t="s">
        <v>68</v>
      </c>
    </row>
    <row r="25" spans="4:4" x14ac:dyDescent="0.25">
      <c r="D25" s="1" t="s">
        <v>69</v>
      </c>
    </row>
    <row r="26" spans="4:4" x14ac:dyDescent="0.25">
      <c r="D26" s="1" t="s">
        <v>70</v>
      </c>
    </row>
    <row r="27" spans="4:4" x14ac:dyDescent="0.25">
      <c r="D27" s="1" t="s">
        <v>71</v>
      </c>
    </row>
    <row r="28" spans="4:4" x14ac:dyDescent="0.25">
      <c r="D28" s="1" t="s">
        <v>72</v>
      </c>
    </row>
    <row r="29" spans="4:4" x14ac:dyDescent="0.25">
      <c r="D29" s="1" t="s">
        <v>73</v>
      </c>
    </row>
    <row r="30" spans="4:4" x14ac:dyDescent="0.25">
      <c r="D30" s="1" t="s">
        <v>74</v>
      </c>
    </row>
    <row r="31" spans="4:4" x14ac:dyDescent="0.25">
      <c r="D31" s="1" t="s">
        <v>75</v>
      </c>
    </row>
    <row r="32" spans="4:4" x14ac:dyDescent="0.25">
      <c r="D32" s="1" t="s">
        <v>76</v>
      </c>
    </row>
    <row r="33" spans="4:4" x14ac:dyDescent="0.25">
      <c r="D33" s="1" t="s">
        <v>77</v>
      </c>
    </row>
    <row r="34" spans="4:4" x14ac:dyDescent="0.25">
      <c r="D34" s="1" t="s">
        <v>78</v>
      </c>
    </row>
    <row r="35" spans="4:4" x14ac:dyDescent="0.25">
      <c r="D35" s="1" t="s">
        <v>79</v>
      </c>
    </row>
    <row r="36" spans="4:4" x14ac:dyDescent="0.25">
      <c r="D36" s="1" t="s">
        <v>80</v>
      </c>
    </row>
    <row r="37" spans="4:4" x14ac:dyDescent="0.25">
      <c r="D37" s="1" t="s">
        <v>81</v>
      </c>
    </row>
    <row r="38" spans="4:4" x14ac:dyDescent="0.25">
      <c r="D38" s="1" t="s">
        <v>82</v>
      </c>
    </row>
    <row r="39" spans="4:4" x14ac:dyDescent="0.25">
      <c r="D39" s="1" t="s">
        <v>83</v>
      </c>
    </row>
    <row r="40" spans="4:4" x14ac:dyDescent="0.25">
      <c r="D40" t="s">
        <v>84</v>
      </c>
    </row>
    <row r="41" spans="4:4" x14ac:dyDescent="0.25">
      <c r="D41" s="1" t="s">
        <v>85</v>
      </c>
    </row>
    <row r="42" spans="4:4" x14ac:dyDescent="0.25">
      <c r="D42" s="1" t="s">
        <v>8</v>
      </c>
    </row>
    <row r="43" spans="4:4" x14ac:dyDescent="0.25">
      <c r="D43" s="1" t="s">
        <v>9</v>
      </c>
    </row>
    <row r="44" spans="4:4" x14ac:dyDescent="0.25">
      <c r="D44" s="1" t="s">
        <v>10</v>
      </c>
    </row>
    <row r="45" spans="4:4" x14ac:dyDescent="0.25">
      <c r="D45" s="1" t="s">
        <v>13</v>
      </c>
    </row>
    <row r="46" spans="4:4" x14ac:dyDescent="0.25">
      <c r="D46" t="s">
        <v>86</v>
      </c>
    </row>
    <row r="47" spans="4:4" x14ac:dyDescent="0.25">
      <c r="D47" s="1" t="s">
        <v>21</v>
      </c>
    </row>
    <row r="48" spans="4:4" x14ac:dyDescent="0.25">
      <c r="D48" t="s">
        <v>87</v>
      </c>
    </row>
    <row r="49" spans="4:4" x14ac:dyDescent="0.25">
      <c r="D49" s="1" t="s">
        <v>25</v>
      </c>
    </row>
    <row r="50" spans="4:4" x14ac:dyDescent="0.25">
      <c r="D50" t="s">
        <v>88</v>
      </c>
    </row>
    <row r="51" spans="4:4" x14ac:dyDescent="0.25">
      <c r="D51" t="s">
        <v>89</v>
      </c>
    </row>
    <row r="52" spans="4:4" x14ac:dyDescent="0.25">
      <c r="D52" t="s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couts_unitaires_data</vt:lpstr>
      <vt:lpstr>list-items-ignore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Justin Millar</dc:creator>
  <cp:keywords/>
  <dc:description/>
  <cp:lastModifiedBy>Hayley Thompson</cp:lastModifiedBy>
  <cp:revision/>
  <dcterms:created xsi:type="dcterms:W3CDTF">2025-02-21T22:36:34Z</dcterms:created>
  <dcterms:modified xsi:type="dcterms:W3CDTF">2025-07-22T22:44:15Z</dcterms:modified>
  <cp:category/>
  <cp:contentStatus/>
</cp:coreProperties>
</file>