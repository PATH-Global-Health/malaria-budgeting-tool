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uploads/costs/"/>
    </mc:Choice>
  </mc:AlternateContent>
  <xr:revisionPtr revIDLastSave="26" documentId="13_ncr:1_{681B52D7-BB94-4A00-BE0B-918ECA3F2A68}" xr6:coauthVersionLast="47" xr6:coauthVersionMax="47" xr10:uidLastSave="{A20189D4-3D4C-4272-90EA-5D349F85C389}"/>
  <bookViews>
    <workbookView xWindow="11760" yWindow="1890" windowWidth="35310" windowHeight="17295" activeTab="2" xr2:uid="{E72D83C0-31FE-469B-BB4E-361133B71EB0}"/>
  </bookViews>
  <sheets>
    <sheet name="unit_cost_data" sheetId="1" r:id="rId1"/>
    <sheet name="smc-linelisting" sheetId="4" r:id="rId2"/>
    <sheet name="itn-linelisting" sheetId="3" r:id="rId3"/>
    <sheet name="list-items-ignore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2" i="3" l="1"/>
  <c r="I282" i="3" s="1"/>
  <c r="I252" i="3"/>
  <c r="H252" i="3"/>
  <c r="H213" i="3"/>
  <c r="I213" i="3" s="1"/>
  <c r="H152" i="3"/>
  <c r="I152" i="3" s="1"/>
  <c r="H148" i="3"/>
  <c r="I148" i="3" s="1"/>
  <c r="I125" i="3"/>
  <c r="H125" i="3"/>
  <c r="H115" i="3"/>
  <c r="I115" i="3" s="1"/>
  <c r="H104" i="3"/>
  <c r="I104" i="3" s="1"/>
  <c r="H96" i="3"/>
  <c r="I96" i="3" s="1"/>
  <c r="I84" i="3"/>
  <c r="H84" i="3"/>
  <c r="H78" i="3"/>
  <c r="I78" i="3" s="1"/>
  <c r="H70" i="3"/>
  <c r="I70" i="3" s="1"/>
  <c r="H63" i="3"/>
  <c r="I63" i="3" s="1"/>
  <c r="I55" i="3"/>
  <c r="H55" i="3"/>
  <c r="H46" i="3"/>
  <c r="H36" i="3"/>
  <c r="I36" i="3" s="1"/>
  <c r="I29" i="3"/>
  <c r="H29" i="3"/>
  <c r="H21" i="3"/>
  <c r="I21" i="3" s="1"/>
  <c r="H17" i="3"/>
  <c r="I17" i="3" s="1"/>
  <c r="H2" i="3"/>
  <c r="I2" i="3" s="1"/>
  <c r="I31" i="4"/>
  <c r="I30" i="4"/>
  <c r="H19" i="4"/>
  <c r="H15" i="4"/>
  <c r="H9" i="4"/>
  <c r="H5" i="4"/>
  <c r="H2" i="4"/>
  <c r="I32" i="4" l="1"/>
</calcChain>
</file>

<file path=xl/sharedStrings.xml><?xml version="1.0" encoding="utf-8"?>
<sst xmlns="http://schemas.openxmlformats.org/spreadsheetml/2006/main" count="936" uniqueCount="301">
  <si>
    <t>unit</t>
  </si>
  <si>
    <t>usd_cost</t>
  </si>
  <si>
    <t>cost_year</t>
  </si>
  <si>
    <t>source</t>
  </si>
  <si>
    <t>code_intervention</t>
  </si>
  <si>
    <t>type_intervention</t>
  </si>
  <si>
    <t>cost_class</t>
  </si>
  <si>
    <t>cm_public</t>
  </si>
  <si>
    <t>cm_private</t>
  </si>
  <si>
    <t>iptp</t>
  </si>
  <si>
    <t>smc</t>
  </si>
  <si>
    <t>pmc</t>
  </si>
  <si>
    <t>vacc</t>
  </si>
  <si>
    <t>irs</t>
  </si>
  <si>
    <t>lsm</t>
  </si>
  <si>
    <t>itn_campaign</t>
  </si>
  <si>
    <t>itn_routine</t>
  </si>
  <si>
    <t>SP</t>
  </si>
  <si>
    <t>SP+AQ</t>
  </si>
  <si>
    <t xml:space="preserve">SP+AS </t>
  </si>
  <si>
    <t>AS+AQ</t>
  </si>
  <si>
    <t>DHAP</t>
  </si>
  <si>
    <t>RTSS</t>
  </si>
  <si>
    <t>R21</t>
  </si>
  <si>
    <t>2GARD</t>
  </si>
  <si>
    <t>Actellic 300CS</t>
  </si>
  <si>
    <t>Bistar 10WP</t>
  </si>
  <si>
    <t>FastM</t>
  </si>
  <si>
    <t>Fendona 10 SC</t>
  </si>
  <si>
    <t>Fendona 5 WP</t>
  </si>
  <si>
    <t>Fendona 6 SC</t>
  </si>
  <si>
    <t>Ficam</t>
  </si>
  <si>
    <t>Fludora Fusion</t>
  </si>
  <si>
    <t>ICON 10  CS - IRS</t>
  </si>
  <si>
    <t>Icon WP</t>
  </si>
  <si>
    <t>K-Othrine Polyzone</t>
  </si>
  <si>
    <t>K-Othrine WG250</t>
  </si>
  <si>
    <t>Klypson 500 WG</t>
  </si>
  <si>
    <t>Lambda-cyhalothrin 10% WP</t>
  </si>
  <si>
    <t>PALI 250 WG</t>
  </si>
  <si>
    <t>Pendulum 10 SC</t>
  </si>
  <si>
    <t>Pendulum 6 SC</t>
  </si>
  <si>
    <t>REVIVAL 100 CS</t>
  </si>
  <si>
    <t>REVIVAL 100 WP</t>
  </si>
  <si>
    <t>RUBI 100 SC</t>
  </si>
  <si>
    <t>RUBI 100 WP</t>
  </si>
  <si>
    <t>RUBI 250 WG-SB</t>
  </si>
  <si>
    <t>RUBI 50 SC</t>
  </si>
  <si>
    <t>RUBI 50 WP</t>
  </si>
  <si>
    <t>SOVRENTA 15WP</t>
  </si>
  <si>
    <t>SumiShield 50WG</t>
  </si>
  <si>
    <t>Sylando 240 SC</t>
  </si>
  <si>
    <t>Vectron 20WP</t>
  </si>
  <si>
    <t>VECTRON T500</t>
  </si>
  <si>
    <t>Habitat Modification</t>
  </si>
  <si>
    <t>Habitat Manipulation</t>
  </si>
  <si>
    <t>Biological Control</t>
  </si>
  <si>
    <t xml:space="preserve">Larviciding </t>
  </si>
  <si>
    <t>Dual AI</t>
  </si>
  <si>
    <t xml:space="preserve">PBO </t>
  </si>
  <si>
    <t>Standard Pyrethroid</t>
  </si>
  <si>
    <t>per ITN</t>
  </si>
  <si>
    <t>per bale</t>
  </si>
  <si>
    <t>per year</t>
  </si>
  <si>
    <t>per State</t>
  </si>
  <si>
    <t>per LGA</t>
  </si>
  <si>
    <t>per child</t>
  </si>
  <si>
    <t>per dose</t>
  </si>
  <si>
    <t>per facility</t>
  </si>
  <si>
    <t>per SP</t>
  </si>
  <si>
    <t>per AL</t>
  </si>
  <si>
    <t>per RDT kit</t>
  </si>
  <si>
    <t>per RAS</t>
  </si>
  <si>
    <t>per 60mg powder</t>
  </si>
  <si>
    <t>Procurement</t>
  </si>
  <si>
    <t>Distribution</t>
  </si>
  <si>
    <t>Operational</t>
  </si>
  <si>
    <t>notes</t>
  </si>
  <si>
    <t>Support</t>
  </si>
  <si>
    <t>Net Storage</t>
  </si>
  <si>
    <t>Campaign</t>
  </si>
  <si>
    <t>per SPAQ pack 3-11 month olds</t>
  </si>
  <si>
    <t>per SPAQ pack 12-59 month olds</t>
  </si>
  <si>
    <t>ngn_cost</t>
  </si>
  <si>
    <t>AL</t>
  </si>
  <si>
    <t>Artesunate injections</t>
  </si>
  <si>
    <t>RAS</t>
  </si>
  <si>
    <t>RDT kits</t>
  </si>
  <si>
    <t>Distribution from National to DH level</t>
  </si>
  <si>
    <t>Quality medicine audit</t>
  </si>
  <si>
    <t>source_state</t>
  </si>
  <si>
    <t>intervention</t>
  </si>
  <si>
    <t>unit_cost_relevance</t>
  </si>
  <si>
    <t xml:space="preserve">activity </t>
  </si>
  <si>
    <t>subactivity</t>
  </si>
  <si>
    <t>cost_usd</t>
  </si>
  <si>
    <t>activity_total_usd</t>
  </si>
  <si>
    <t>activity_prop</t>
  </si>
  <si>
    <t>Kwara</t>
  </si>
  <si>
    <t xml:space="preserve">operational </t>
  </si>
  <si>
    <t>coordination and planning</t>
  </si>
  <si>
    <t xml:space="preserve">Planning Meeting </t>
  </si>
  <si>
    <t xml:space="preserve">Debrief Meeting </t>
  </si>
  <si>
    <t>procurement (non drugs)</t>
  </si>
  <si>
    <t>Printing of SMC training and implementation tools</t>
  </si>
  <si>
    <t>Production of visibility materials</t>
  </si>
  <si>
    <t>Procurement of PPEs</t>
  </si>
  <si>
    <t>Procurement of  Stationeries</t>
  </si>
  <si>
    <t>training for delivery</t>
  </si>
  <si>
    <t>Training of Health Facility Workers</t>
  </si>
  <si>
    <t>Training of Participants - Community Drug Distributors (CDDs)</t>
  </si>
  <si>
    <t>Training of Health Educators on SMC SBC</t>
  </si>
  <si>
    <t>1-day orientation for Town Announcers</t>
  </si>
  <si>
    <t>1-day orientation for Lead Mothers</t>
  </si>
  <si>
    <t>logistics</t>
  </si>
  <si>
    <t>Support Commodity Management Review Meetings to develop and review distribution plan for each cycle</t>
  </si>
  <si>
    <t>Packaging materials</t>
  </si>
  <si>
    <t>Last Mile Distribution</t>
  </si>
  <si>
    <t>Reverse logistics</t>
  </si>
  <si>
    <t>personnel</t>
  </si>
  <si>
    <t>Distribution Allowance for CDDs</t>
  </si>
  <si>
    <t>Transport Allowance for  CDD Recorder Provisioning and Reconciliation days</t>
  </si>
  <si>
    <t xml:space="preserve">Distribution Allowances for Town Announcers </t>
  </si>
  <si>
    <t>Distribution Allowances for Lead Mothers</t>
  </si>
  <si>
    <t>Distribution/Monitoring Allowance for health facility workers</t>
  </si>
  <si>
    <t>Distribution/Monitoring Allowance for LGA team</t>
  </si>
  <si>
    <t>Allowance for State team</t>
  </si>
  <si>
    <t>Biodata capturing  for SMC Personnel</t>
  </si>
  <si>
    <t>Allowance for SMEP personnels and TAs</t>
  </si>
  <si>
    <t>Grand total</t>
  </si>
  <si>
    <t xml:space="preserve">Number of children </t>
  </si>
  <si>
    <t>Cost per child</t>
  </si>
  <si>
    <t>Kaduna</t>
  </si>
  <si>
    <t>operational</t>
  </si>
  <si>
    <t>Tea break (2 times daily)</t>
  </si>
  <si>
    <t>Lunch</t>
  </si>
  <si>
    <t>Hall (combined session) Large</t>
  </si>
  <si>
    <t>Hall (break out session) Medium</t>
  </si>
  <si>
    <t>Hall (break out session) Small</t>
  </si>
  <si>
    <t>workshop materials</t>
  </si>
  <si>
    <t xml:space="preserve">Transport - participants </t>
  </si>
  <si>
    <t>Transportation for workshop assistants</t>
  </si>
  <si>
    <t>DSA for participants-travel day</t>
  </si>
  <si>
    <t>DSA for participants-training days</t>
  </si>
  <si>
    <t>Transport - facilitators (CTAT &amp; ICT4D consultants)</t>
  </si>
  <si>
    <t>Workshop assistants cost</t>
  </si>
  <si>
    <t>Facilitation allowance</t>
  </si>
  <si>
    <t>DSA for facilitators (CTAT &amp; 4 ICT4D)-training days</t>
  </si>
  <si>
    <t>Materials - stationary</t>
  </si>
  <si>
    <t>Training of LGA coordinators on operations + activity management</t>
  </si>
  <si>
    <t>Tea break (2 times)</t>
  </si>
  <si>
    <t>Hall (medium)</t>
  </si>
  <si>
    <t>Transport for participants</t>
  </si>
  <si>
    <t>Training of TTAs  &amp; LGA coordinators on device deployment and CAT platform</t>
  </si>
  <si>
    <t>Hall (Big)</t>
  </si>
  <si>
    <t>DSA for facilitators</t>
  </si>
  <si>
    <t xml:space="preserve">Facilitation allowance </t>
  </si>
  <si>
    <t xml:space="preserve">Facilitation transport </t>
  </si>
  <si>
    <t>Training of TTAs on HHM &amp; Distribution process</t>
  </si>
  <si>
    <t>Hall (large)</t>
  </si>
  <si>
    <t>Orientation of CSO on campaign SBC implementation</t>
  </si>
  <si>
    <t>Transport - participants</t>
  </si>
  <si>
    <t>Transport - facilitators</t>
  </si>
  <si>
    <t>Transport - facilitators (State HE)</t>
  </si>
  <si>
    <t>Facilitation allowance (CTAT )</t>
  </si>
  <si>
    <t>Facilitator allowance (State HE)</t>
  </si>
  <si>
    <t>Training of CMTs on end process</t>
  </si>
  <si>
    <t>Workshop material</t>
  </si>
  <si>
    <t>Facilitation allowance (CTAT &amp; ICT4D consultants)</t>
  </si>
  <si>
    <t>Media parley</t>
  </si>
  <si>
    <t>Hall (Medium)</t>
  </si>
  <si>
    <t xml:space="preserve">Transport - facilitators </t>
  </si>
  <si>
    <t>Orientation of LGA conveyors</t>
  </si>
  <si>
    <t>Transport - participants (LGA conveyors)</t>
  </si>
  <si>
    <t>Transport - facilitators (State Logistician)</t>
  </si>
  <si>
    <t>Transport allowance (CTAT)</t>
  </si>
  <si>
    <t>DSA for facilitator (CTAT)</t>
  </si>
  <si>
    <t>Facilitator allowance (State logistician)</t>
  </si>
  <si>
    <t>Facilitator allowance (CTAT)</t>
  </si>
  <si>
    <t>Orientation of State warehouse team</t>
  </si>
  <si>
    <t>Transport - participants (State warehouse team)</t>
  </si>
  <si>
    <t>Orientation of State ICCN</t>
  </si>
  <si>
    <t>Transport - participants (ICCN)</t>
  </si>
  <si>
    <t>DSA for facilitator</t>
  </si>
  <si>
    <t>Training of Cluster supervisors</t>
  </si>
  <si>
    <t>Tea break</t>
  </si>
  <si>
    <t>Transport - participants (ward)</t>
  </si>
  <si>
    <t>Transport - facilitators (LGA)</t>
  </si>
  <si>
    <t>Transport - facilitators (LGA TAs)</t>
  </si>
  <si>
    <t>Facilitation allowance (LGA team)</t>
  </si>
  <si>
    <t>Facilitation allowance (LGA TAs)</t>
  </si>
  <si>
    <t>Facilitation allowance (TTA)</t>
  </si>
  <si>
    <t>Out of station allowance (TTA)</t>
  </si>
  <si>
    <t xml:space="preserve"> Transport - facilitators (TTA)</t>
  </si>
  <si>
    <t>Workshop materials</t>
  </si>
  <si>
    <t>Orientation of Town Announcers</t>
  </si>
  <si>
    <t>Transport - participants (town announcers)</t>
  </si>
  <si>
    <t>Transport - facilitators (cluster supervisor)</t>
  </si>
  <si>
    <t>Transport - facilitators (LGA HE)</t>
  </si>
  <si>
    <t>Facilitator allowance (cluster supervisor)</t>
  </si>
  <si>
    <t>Facilitator allowance (LGA HE)</t>
  </si>
  <si>
    <t>Photocopy</t>
  </si>
  <si>
    <t>Training of Household Mobilizers/ITN distributor</t>
  </si>
  <si>
    <t>Transport - participants (HHM)</t>
  </si>
  <si>
    <t>Transport - facilitators (LGA team)</t>
  </si>
  <si>
    <t>Transport - facilitators (Cluster supervisors)</t>
  </si>
  <si>
    <t>Facilitators allowance (LGA team)</t>
  </si>
  <si>
    <t>Facilitators allowance (Cluster supervisors)</t>
  </si>
  <si>
    <t>Facilitation allowance for TTAs</t>
  </si>
  <si>
    <t>Out of station allowance</t>
  </si>
  <si>
    <t>Transport - facilitators TTAs</t>
  </si>
  <si>
    <t>Materials - photocopy</t>
  </si>
  <si>
    <t>Training of Distribution Hub Supervisor</t>
  </si>
  <si>
    <t>Transport - participants (DP sup)</t>
  </si>
  <si>
    <t>Transport - facilitators (LGA logistician)</t>
  </si>
  <si>
    <t>Facilitation allowance - TTAs</t>
  </si>
  <si>
    <t>Out of station allowance - TTAs</t>
  </si>
  <si>
    <t>Facilitation fee - LGA logistician</t>
  </si>
  <si>
    <t>Facilitation fee - LGA TAs</t>
  </si>
  <si>
    <t>Orientation of DH conveyors</t>
  </si>
  <si>
    <t>Transport - participants (DP conveyors)</t>
  </si>
  <si>
    <t>Transport - facilitators (LGA Logistician)</t>
  </si>
  <si>
    <t>Transport allowance (LGA TAs)</t>
  </si>
  <si>
    <t>Facilitator allowance (LGA logistician)</t>
  </si>
  <si>
    <t>Facilitator allowance (state supervisor)</t>
  </si>
  <si>
    <t>Training of Distribution Team</t>
  </si>
  <si>
    <t>Transport - participants (DP team)</t>
  </si>
  <si>
    <t>Out of station allowance for TTAs</t>
  </si>
  <si>
    <t>Orientation for DP Health Educators</t>
  </si>
  <si>
    <t>Transport - participants (DP)</t>
  </si>
  <si>
    <t>Facilitators Allowance (LGA HE)</t>
  </si>
  <si>
    <t>Facilitators Allowance (LGA TAs)</t>
  </si>
  <si>
    <t>Orientation for security</t>
  </si>
  <si>
    <t>Transport - facilitators (cluster sup)</t>
  </si>
  <si>
    <t>Facilitators Allowance (cluster sup)</t>
  </si>
  <si>
    <t>Campaign materials and data tools</t>
  </si>
  <si>
    <t>Logistic</t>
  </si>
  <si>
    <t>Demand creation</t>
  </si>
  <si>
    <t>Implementation - Household mobilization/ITN distribution</t>
  </si>
  <si>
    <t>ICT4D</t>
  </si>
  <si>
    <t>Monitoring &amp; Supervision</t>
  </si>
  <si>
    <t>Operations</t>
  </si>
  <si>
    <t xml:space="preserve">Promotional material for Logistics Demand Creation and M&amp;S </t>
  </si>
  <si>
    <t>Campaign personnel honorarium, daily rate and travels</t>
  </si>
  <si>
    <t>CTAT (Technical Workstream)</t>
  </si>
  <si>
    <t>CTAT (Demand Creation WS consultants)</t>
  </si>
  <si>
    <t>CTAT (Logistics WS consultants)</t>
  </si>
  <si>
    <t>CTAT (support facilitators)</t>
  </si>
  <si>
    <t>NMEP rep</t>
  </si>
  <si>
    <t>ICT4D consultants (4 per State)</t>
  </si>
  <si>
    <t>state team (ES SPHCDA, DPH, SMEP manager, state health educator, state logistician)</t>
  </si>
  <si>
    <t>LGA TAs (1 per LGA)</t>
  </si>
  <si>
    <t>State warehouse manager -  (Depending on the number of warehouses per state)</t>
  </si>
  <si>
    <t>Assistant warehouse manager - (2 per warehouse)</t>
  </si>
  <si>
    <t>LGA conveyors - (1 per LGA)</t>
  </si>
  <si>
    <t>Media reporting journalist - (3 per State)</t>
  </si>
  <si>
    <t>TTAs</t>
  </si>
  <si>
    <t>LGA coordinators - (1 per LGA)</t>
  </si>
  <si>
    <t>LGA team (PHCC/MoH)</t>
  </si>
  <si>
    <t>LGA team (MFP)</t>
  </si>
  <si>
    <t>LGA team (LGA HE)</t>
  </si>
  <si>
    <t>LGA team (LGA logistician)</t>
  </si>
  <si>
    <t>LGA store keeper - 1 per LGA</t>
  </si>
  <si>
    <t>LGA store security- 2 per LGA</t>
  </si>
  <si>
    <t>DH conveyors - 1 per DH</t>
  </si>
  <si>
    <t>Cluster supervisors - HHM/ITN Distribution</t>
  </si>
  <si>
    <t>Cluster supervisors - Distribution</t>
  </si>
  <si>
    <t>Town announcers - 5 per ward</t>
  </si>
  <si>
    <t>Household mobilizers/ITN distributors</t>
  </si>
  <si>
    <t>DH supervisors - 1 per DH</t>
  </si>
  <si>
    <t>HHM/Distribution team security - 1 per team</t>
  </si>
  <si>
    <t>DP health educator - 1 per DP</t>
  </si>
  <si>
    <t>DH security - 1 per DH</t>
  </si>
  <si>
    <t>CMTs - 4 per LGA</t>
  </si>
  <si>
    <t>Travel for National and State level personnel for campaign implementation</t>
  </si>
  <si>
    <t>CTAT + Support Facilitators</t>
  </si>
  <si>
    <t>CTAT (for STOT Facilitation)</t>
  </si>
  <si>
    <t>ICT4D consultant</t>
  </si>
  <si>
    <t>ICT4D team</t>
  </si>
  <si>
    <t>State team</t>
  </si>
  <si>
    <t>LGA coordinators</t>
  </si>
  <si>
    <t>Additional hotel room for secretariat</t>
  </si>
  <si>
    <t>VC unit - workstream Advisor</t>
  </si>
  <si>
    <t xml:space="preserve"> PD &amp; DPD</t>
  </si>
  <si>
    <t>SFH M&amp;E/IT to support ICT4D</t>
  </si>
  <si>
    <t>Security</t>
  </si>
  <si>
    <t>Finance team</t>
  </si>
  <si>
    <t>Program/operations support</t>
  </si>
  <si>
    <t>NMEP &amp; SFH management team</t>
  </si>
  <si>
    <t>SFH &amp; NMEP reps (flag off)</t>
  </si>
  <si>
    <t>Number of Nets</t>
  </si>
  <si>
    <t>Cost per Net</t>
  </si>
  <si>
    <t>reduce by 30%</t>
  </si>
  <si>
    <t>Microplanning meeting</t>
  </si>
  <si>
    <t xml:space="preserve">Conduct training of trainers/supervisors </t>
  </si>
  <si>
    <t>Allowance LGA Tas</t>
  </si>
  <si>
    <t xml:space="preserve">End of Cycle Review Meetings </t>
  </si>
  <si>
    <t>Description (days, personnel present, items included)</t>
  </si>
  <si>
    <t>sub_activity_cost</t>
  </si>
  <si>
    <t>Residential Training Budget</t>
  </si>
  <si>
    <t xml:space="preserve">Residential Training Budget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</si>
</sst>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16" fillId="0" borderId="0" xfId="0" applyFont="1"/>
    <xf numFmtId="43" fontId="0" fillId="0" borderId="0" xfId="42" applyFont="1"/>
    <xf numFmtId="0" fontId="16" fillId="0" borderId="10" xfId="0" applyFont="1" applyBorder="1"/>
    <xf numFmtId="0" fontId="16" fillId="0" borderId="11" xfId="0" applyFont="1" applyBorder="1"/>
    <xf numFmtId="0" fontId="0" fillId="0" borderId="11" xfId="0" applyBorder="1"/>
    <xf numFmtId="164" fontId="0" fillId="0" borderId="11" xfId="42" applyNumberFormat="1" applyFont="1" applyBorder="1"/>
    <xf numFmtId="0" fontId="0" fillId="0" borderId="12" xfId="0" applyBorder="1"/>
    <xf numFmtId="43" fontId="0" fillId="0" borderId="11" xfId="42" applyFont="1" applyBorder="1"/>
    <xf numFmtId="164" fontId="16" fillId="0" borderId="11" xfId="42" applyNumberFormat="1" applyFont="1" applyBorder="1"/>
    <xf numFmtId="164" fontId="16" fillId="0" borderId="0" xfId="42" applyNumberFormat="1" applyFont="1" applyBorder="1"/>
    <xf numFmtId="0" fontId="16" fillId="0" borderId="12" xfId="0" applyFont="1" applyBorder="1"/>
    <xf numFmtId="43" fontId="16" fillId="0" borderId="12" xfId="42" applyFont="1" applyBorder="1"/>
    <xf numFmtId="0" fontId="18" fillId="0" borderId="10" xfId="0" applyFont="1" applyBorder="1"/>
    <xf numFmtId="0" fontId="18" fillId="0" borderId="11" xfId="0" applyFont="1" applyBorder="1"/>
    <xf numFmtId="0" fontId="18" fillId="0" borderId="0" xfId="0" applyFont="1"/>
    <xf numFmtId="0" fontId="19" fillId="0" borderId="0" xfId="0" applyFont="1"/>
    <xf numFmtId="0" fontId="19" fillId="0" borderId="11" xfId="0" applyFont="1" applyBorder="1"/>
    <xf numFmtId="164" fontId="19" fillId="0" borderId="11" xfId="42" applyNumberFormat="1" applyFont="1" applyFill="1" applyBorder="1"/>
    <xf numFmtId="164" fontId="19" fillId="0" borderId="0" xfId="42" applyNumberFormat="1" applyFont="1" applyFill="1" applyBorder="1"/>
    <xf numFmtId="0" fontId="19" fillId="0" borderId="12" xfId="0" applyFont="1" applyBorder="1"/>
    <xf numFmtId="164" fontId="19" fillId="0" borderId="12" xfId="42" applyNumberFormat="1" applyFont="1" applyFill="1" applyBorder="1"/>
    <xf numFmtId="43" fontId="19" fillId="0" borderId="11" xfId="42" applyFont="1" applyFill="1" applyBorder="1"/>
    <xf numFmtId="164" fontId="18" fillId="0" borderId="11" xfId="42" applyNumberFormat="1" applyFont="1" applyFill="1" applyBorder="1"/>
    <xf numFmtId="164" fontId="18" fillId="0" borderId="0" xfId="42" applyNumberFormat="1" applyFont="1" applyFill="1" applyBorder="1"/>
    <xf numFmtId="0" fontId="18" fillId="0" borderId="12" xfId="0" applyFont="1" applyBorder="1"/>
    <xf numFmtId="43" fontId="18" fillId="0" borderId="12" xfId="42" applyFont="1" applyFill="1" applyBorder="1"/>
    <xf numFmtId="43" fontId="0" fillId="0" borderId="0" xfId="42" applyFont="1" applyBorder="1"/>
    <xf numFmtId="43" fontId="0" fillId="0" borderId="12" xfId="42" applyFont="1" applyBorder="1"/>
    <xf numFmtId="43" fontId="0" fillId="0" borderId="11" xfId="0" applyNumberFormat="1" applyBorder="1"/>
    <xf numFmtId="43" fontId="0" fillId="0" borderId="0" xfId="0" applyNumberFormat="1"/>
    <xf numFmtId="164" fontId="16" fillId="0" borderId="0" xfId="42" applyNumberFormat="1" applyFont="1"/>
    <xf numFmtId="164" fontId="16" fillId="0" borderId="0" xfId="0" applyNumberFormat="1" applyFont="1"/>
    <xf numFmtId="43" fontId="16" fillId="0" borderId="0" xfId="42" applyFont="1"/>
    <xf numFmtId="0" fontId="16" fillId="0" borderId="0" xfId="0" applyFont="1" applyBorder="1"/>
    <xf numFmtId="0" fontId="0" fillId="0" borderId="0" xfId="0" applyBorder="1"/>
    <xf numFmtId="164" fontId="0" fillId="0" borderId="0" xfId="42" applyNumberFormat="1" applyFont="1" applyBorder="1"/>
    <xf numFmtId="43" fontId="0" fillId="0" borderId="0" xfId="0" applyNumberFormat="1" applyBorder="1"/>
    <xf numFmtId="164" fontId="0" fillId="0" borderId="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selection activeCell="G7" sqref="G7"/>
    </sheetView>
  </sheetViews>
  <sheetFormatPr defaultRowHeight="15" x14ac:dyDescent="0.25"/>
  <cols>
    <col min="1" max="1" width="19" customWidth="1"/>
    <col min="2" max="2" width="20.28515625" customWidth="1"/>
    <col min="3" max="3" width="14.7109375" customWidth="1"/>
    <col min="4" max="4" width="13.28515625" customWidth="1"/>
    <col min="5" max="5" width="21.42578125" customWidth="1"/>
    <col min="6" max="6" width="11" customWidth="1"/>
    <col min="7" max="8" width="11.7109375" customWidth="1"/>
  </cols>
  <sheetData>
    <row r="1" spans="1:9" x14ac:dyDescent="0.25">
      <c r="A1" s="1" t="s">
        <v>4</v>
      </c>
      <c r="B1" s="1" t="s">
        <v>5</v>
      </c>
      <c r="C1" s="1" t="s">
        <v>6</v>
      </c>
      <c r="D1" s="1" t="s">
        <v>0</v>
      </c>
      <c r="E1" s="1" t="s">
        <v>83</v>
      </c>
      <c r="F1" s="1" t="s">
        <v>1</v>
      </c>
      <c r="G1" s="1" t="s">
        <v>2</v>
      </c>
      <c r="H1" s="1" t="s">
        <v>77</v>
      </c>
      <c r="I1" s="1" t="s">
        <v>3</v>
      </c>
    </row>
    <row r="2" spans="1:9" x14ac:dyDescent="0.25">
      <c r="A2" t="s">
        <v>15</v>
      </c>
      <c r="B2" t="s">
        <v>58</v>
      </c>
      <c r="C2" t="s">
        <v>74</v>
      </c>
      <c r="D2" t="s">
        <v>61</v>
      </c>
      <c r="E2">
        <v>3800</v>
      </c>
      <c r="F2">
        <v>3.83</v>
      </c>
    </row>
    <row r="3" spans="1:9" x14ac:dyDescent="0.25">
      <c r="A3" t="s">
        <v>15</v>
      </c>
      <c r="B3" t="s">
        <v>59</v>
      </c>
      <c r="C3" t="s">
        <v>74</v>
      </c>
      <c r="D3" t="s">
        <v>61</v>
      </c>
    </row>
    <row r="4" spans="1:9" x14ac:dyDescent="0.25">
      <c r="A4" t="s">
        <v>15</v>
      </c>
      <c r="B4" t="s">
        <v>60</v>
      </c>
      <c r="C4" t="s">
        <v>74</v>
      </c>
      <c r="D4" t="s">
        <v>61</v>
      </c>
    </row>
    <row r="5" spans="1:9" x14ac:dyDescent="0.25">
      <c r="A5" t="s">
        <v>15</v>
      </c>
      <c r="B5" t="s">
        <v>58</v>
      </c>
      <c r="C5" t="s">
        <v>75</v>
      </c>
      <c r="D5" t="s">
        <v>62</v>
      </c>
      <c r="E5">
        <v>8100</v>
      </c>
      <c r="F5">
        <v>8.06</v>
      </c>
      <c r="H5" t="s">
        <v>88</v>
      </c>
    </row>
    <row r="6" spans="1:9" x14ac:dyDescent="0.25">
      <c r="A6" t="s">
        <v>15</v>
      </c>
      <c r="B6" t="s">
        <v>58</v>
      </c>
      <c r="C6" t="s">
        <v>76</v>
      </c>
      <c r="D6" t="s">
        <v>61</v>
      </c>
      <c r="E6" s="2">
        <v>70</v>
      </c>
      <c r="F6" s="2">
        <v>7.0000000000000007E-2</v>
      </c>
    </row>
    <row r="7" spans="1:9" x14ac:dyDescent="0.25">
      <c r="A7" t="s">
        <v>15</v>
      </c>
      <c r="B7" t="s">
        <v>79</v>
      </c>
      <c r="C7" t="s">
        <v>78</v>
      </c>
      <c r="D7" t="s">
        <v>63</v>
      </c>
      <c r="E7">
        <v>4761600</v>
      </c>
      <c r="F7">
        <v>4761.59</v>
      </c>
    </row>
    <row r="8" spans="1:9" x14ac:dyDescent="0.25">
      <c r="A8" t="s">
        <v>16</v>
      </c>
      <c r="B8" t="s">
        <v>58</v>
      </c>
      <c r="C8" t="s">
        <v>74</v>
      </c>
      <c r="D8" t="s">
        <v>61</v>
      </c>
      <c r="E8">
        <v>3700</v>
      </c>
      <c r="F8">
        <v>3.7</v>
      </c>
    </row>
    <row r="9" spans="1:9" x14ac:dyDescent="0.25">
      <c r="A9" t="s">
        <v>16</v>
      </c>
      <c r="B9" t="s">
        <v>59</v>
      </c>
      <c r="C9" t="s">
        <v>74</v>
      </c>
      <c r="D9" t="s">
        <v>61</v>
      </c>
    </row>
    <row r="10" spans="1:9" x14ac:dyDescent="0.25">
      <c r="A10" t="s">
        <v>16</v>
      </c>
      <c r="B10" t="s">
        <v>60</v>
      </c>
      <c r="C10" t="s">
        <v>74</v>
      </c>
      <c r="D10" t="s">
        <v>61</v>
      </c>
    </row>
    <row r="11" spans="1:9" x14ac:dyDescent="0.25">
      <c r="A11" t="s">
        <v>16</v>
      </c>
      <c r="B11" t="s">
        <v>58</v>
      </c>
      <c r="C11" t="s">
        <v>76</v>
      </c>
      <c r="D11" t="s">
        <v>61</v>
      </c>
      <c r="E11">
        <v>1000</v>
      </c>
      <c r="F11">
        <v>1.04</v>
      </c>
    </row>
    <row r="12" spans="1:9" x14ac:dyDescent="0.25">
      <c r="A12" t="s">
        <v>12</v>
      </c>
      <c r="B12" t="s">
        <v>23</v>
      </c>
      <c r="C12" t="s">
        <v>74</v>
      </c>
      <c r="D12" t="s">
        <v>67</v>
      </c>
      <c r="E12">
        <v>3800</v>
      </c>
      <c r="F12">
        <v>3.77</v>
      </c>
    </row>
    <row r="13" spans="1:9" x14ac:dyDescent="0.25">
      <c r="A13" t="s">
        <v>12</v>
      </c>
      <c r="B13" t="s">
        <v>23</v>
      </c>
      <c r="C13" t="s">
        <v>76</v>
      </c>
      <c r="D13" t="s">
        <v>66</v>
      </c>
      <c r="E13">
        <v>600</v>
      </c>
      <c r="F13">
        <v>0.64</v>
      </c>
    </row>
    <row r="14" spans="1:9" x14ac:dyDescent="0.25">
      <c r="A14" t="s">
        <v>10</v>
      </c>
      <c r="B14" t="s">
        <v>18</v>
      </c>
      <c r="C14" t="s">
        <v>74</v>
      </c>
      <c r="D14" t="s">
        <v>81</v>
      </c>
      <c r="E14">
        <v>200</v>
      </c>
      <c r="F14">
        <v>0.23</v>
      </c>
    </row>
    <row r="15" spans="1:9" x14ac:dyDescent="0.25">
      <c r="A15" t="s">
        <v>10</v>
      </c>
      <c r="B15" t="s">
        <v>18</v>
      </c>
      <c r="C15" t="s">
        <v>74</v>
      </c>
      <c r="D15" t="s">
        <v>82</v>
      </c>
      <c r="E15">
        <v>300</v>
      </c>
      <c r="F15">
        <v>0.3</v>
      </c>
    </row>
    <row r="16" spans="1:9" x14ac:dyDescent="0.25">
      <c r="A16" t="s">
        <v>10</v>
      </c>
      <c r="B16" t="s">
        <v>18</v>
      </c>
      <c r="C16" t="s">
        <v>76</v>
      </c>
      <c r="D16" t="s">
        <v>66</v>
      </c>
      <c r="E16" s="2">
        <v>1067</v>
      </c>
      <c r="F16" s="2">
        <v>1.0476000000000001</v>
      </c>
    </row>
    <row r="17" spans="1:8" x14ac:dyDescent="0.25">
      <c r="A17" t="s">
        <v>11</v>
      </c>
      <c r="B17" t="s">
        <v>17</v>
      </c>
      <c r="C17" t="s">
        <v>74</v>
      </c>
      <c r="D17" t="s">
        <v>69</v>
      </c>
      <c r="E17">
        <v>200</v>
      </c>
      <c r="F17">
        <v>0.2</v>
      </c>
    </row>
    <row r="18" spans="1:8" x14ac:dyDescent="0.25">
      <c r="A18" t="s">
        <v>11</v>
      </c>
      <c r="B18" t="s">
        <v>17</v>
      </c>
      <c r="C18" t="s">
        <v>76</v>
      </c>
      <c r="D18" t="s">
        <v>66</v>
      </c>
      <c r="E18">
        <v>100</v>
      </c>
      <c r="F18">
        <v>0.08</v>
      </c>
    </row>
    <row r="19" spans="1:8" x14ac:dyDescent="0.25">
      <c r="A19" t="s">
        <v>9</v>
      </c>
      <c r="B19" t="s">
        <v>17</v>
      </c>
      <c r="C19" t="s">
        <v>74</v>
      </c>
      <c r="D19" t="s">
        <v>69</v>
      </c>
      <c r="E19">
        <v>500</v>
      </c>
      <c r="F19">
        <v>0.54</v>
      </c>
    </row>
    <row r="20" spans="1:8" x14ac:dyDescent="0.25">
      <c r="A20" t="s">
        <v>9</v>
      </c>
      <c r="B20" t="s">
        <v>17</v>
      </c>
      <c r="C20" t="s">
        <v>75</v>
      </c>
      <c r="D20" t="s">
        <v>69</v>
      </c>
      <c r="E20">
        <v>100</v>
      </c>
      <c r="F20">
        <v>0.1</v>
      </c>
    </row>
    <row r="21" spans="1:8" x14ac:dyDescent="0.25">
      <c r="A21" t="s">
        <v>7</v>
      </c>
      <c r="B21" t="s">
        <v>84</v>
      </c>
      <c r="C21" t="s">
        <v>74</v>
      </c>
      <c r="D21" t="s">
        <v>70</v>
      </c>
      <c r="E21">
        <v>1800</v>
      </c>
      <c r="F21">
        <v>1.76</v>
      </c>
    </row>
    <row r="22" spans="1:8" x14ac:dyDescent="0.25">
      <c r="A22" t="s">
        <v>7</v>
      </c>
      <c r="B22" t="s">
        <v>84</v>
      </c>
      <c r="C22" t="s">
        <v>75</v>
      </c>
      <c r="D22" t="s">
        <v>70</v>
      </c>
      <c r="E22">
        <v>300</v>
      </c>
      <c r="F22">
        <v>0.28999999999999998</v>
      </c>
    </row>
    <row r="23" spans="1:8" x14ac:dyDescent="0.25">
      <c r="A23" t="s">
        <v>7</v>
      </c>
      <c r="B23" t="s">
        <v>85</v>
      </c>
      <c r="C23" t="s">
        <v>74</v>
      </c>
      <c r="D23" t="s">
        <v>73</v>
      </c>
      <c r="E23">
        <v>2200</v>
      </c>
      <c r="F23">
        <v>2.2400000000000002</v>
      </c>
    </row>
    <row r="24" spans="1:8" x14ac:dyDescent="0.25">
      <c r="A24" t="s">
        <v>7</v>
      </c>
      <c r="B24" t="s">
        <v>85</v>
      </c>
      <c r="C24" t="s">
        <v>75</v>
      </c>
      <c r="D24" t="s">
        <v>73</v>
      </c>
      <c r="E24">
        <v>900</v>
      </c>
      <c r="F24">
        <v>0.89</v>
      </c>
    </row>
    <row r="25" spans="1:8" x14ac:dyDescent="0.25">
      <c r="A25" t="s">
        <v>7</v>
      </c>
      <c r="B25" t="s">
        <v>86</v>
      </c>
      <c r="C25" t="s">
        <v>74</v>
      </c>
      <c r="D25" t="s">
        <v>72</v>
      </c>
      <c r="E25">
        <v>500</v>
      </c>
      <c r="F25">
        <v>0.49</v>
      </c>
    </row>
    <row r="26" spans="1:8" x14ac:dyDescent="0.25">
      <c r="A26" t="s">
        <v>7</v>
      </c>
      <c r="B26" t="s">
        <v>86</v>
      </c>
      <c r="C26" t="s">
        <v>75</v>
      </c>
      <c r="D26" t="s">
        <v>72</v>
      </c>
      <c r="E26">
        <v>100</v>
      </c>
      <c r="F26">
        <v>0.11</v>
      </c>
    </row>
    <row r="27" spans="1:8" x14ac:dyDescent="0.25">
      <c r="A27" t="s">
        <v>7</v>
      </c>
      <c r="B27" t="s">
        <v>87</v>
      </c>
      <c r="C27" t="s">
        <v>74</v>
      </c>
      <c r="D27" t="s">
        <v>71</v>
      </c>
      <c r="E27">
        <v>400</v>
      </c>
      <c r="F27">
        <v>0.38</v>
      </c>
    </row>
    <row r="28" spans="1:8" x14ac:dyDescent="0.25">
      <c r="A28" t="s">
        <v>7</v>
      </c>
      <c r="B28" t="s">
        <v>87</v>
      </c>
      <c r="C28" t="s">
        <v>75</v>
      </c>
      <c r="D28" t="s">
        <v>71</v>
      </c>
      <c r="E28">
        <v>100</v>
      </c>
      <c r="F28">
        <v>0.1</v>
      </c>
    </row>
    <row r="29" spans="1:8" x14ac:dyDescent="0.25">
      <c r="A29" t="s">
        <v>7</v>
      </c>
      <c r="C29" t="s">
        <v>76</v>
      </c>
      <c r="E29">
        <v>2293000</v>
      </c>
      <c r="F29">
        <v>2292.9699999999998</v>
      </c>
      <c r="H29" t="s">
        <v>89</v>
      </c>
    </row>
  </sheetData>
  <dataValidations count="1">
    <dataValidation type="list" showInputMessage="1" showErrorMessage="1" sqref="C2:C1048576" xr:uid="{CF2B6038-255B-4E0E-9990-79C67B911883}">
      <formula1>"Procurement, Distribution, Operational, Support, Other"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23E79F-74DE-47A3-AA72-02125CE1366C}">
          <x14:formula1>
            <xm:f>'list-items-ignore'!$B$1:$B$10</xm:f>
          </x14:formula1>
          <xm:sqref>A2:A1048576</xm:sqref>
        </x14:dataValidation>
        <x14:dataValidation type="list" allowBlank="1" showInputMessage="1" showErrorMessage="1" xr:uid="{E5E138DD-4BA1-445F-A665-4841EF8F02BE}">
          <x14:formula1>
            <xm:f>'list-items-ignore'!$D:$D</xm:f>
          </x14:formula1>
          <xm:sqref>B2:B1048576</xm:sqref>
        </x14:dataValidation>
        <x14:dataValidation type="list" allowBlank="1" showInputMessage="1" showErrorMessage="1" xr:uid="{613C0C3E-E487-435C-8D59-412773A42907}">
          <x14:formula1>
            <xm:f>'list-items-ignore'!$G:$G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2F9A-D8C6-4842-9FEA-2D618A9BA581}">
  <dimension ref="A1:I32"/>
  <sheetViews>
    <sheetView topLeftCell="C1" zoomScale="110" zoomScaleNormal="110" workbookViewId="0">
      <selection activeCell="K27" sqref="K27"/>
    </sheetView>
  </sheetViews>
  <sheetFormatPr defaultRowHeight="15" x14ac:dyDescent="0.25"/>
  <cols>
    <col min="1" max="1" width="12.5703125" bestFit="1" customWidth="1"/>
    <col min="2" max="2" width="12.140625" bestFit="1" customWidth="1"/>
    <col min="3" max="3" width="19.28515625" bestFit="1" customWidth="1"/>
    <col min="4" max="4" width="25" bestFit="1" customWidth="1"/>
    <col min="5" max="5" width="73.5703125" customWidth="1"/>
    <col min="6" max="6" width="14" customWidth="1"/>
    <col min="7" max="7" width="16.85546875" bestFit="1" customWidth="1"/>
    <col min="8" max="8" width="12.5703125" bestFit="1" customWidth="1"/>
    <col min="9" max="9" width="11.5703125" bestFit="1" customWidth="1"/>
  </cols>
  <sheetData>
    <row r="1" spans="1:9" ht="28.5" customHeight="1" x14ac:dyDescent="0.25">
      <c r="A1" s="13" t="s">
        <v>90</v>
      </c>
      <c r="B1" s="13" t="s">
        <v>91</v>
      </c>
      <c r="C1" s="13" t="s">
        <v>92</v>
      </c>
      <c r="D1" s="14" t="s">
        <v>93</v>
      </c>
      <c r="E1" s="14" t="s">
        <v>94</v>
      </c>
      <c r="F1" s="14" t="s">
        <v>95</v>
      </c>
      <c r="G1" s="15" t="s">
        <v>96</v>
      </c>
      <c r="H1" s="15" t="s">
        <v>97</v>
      </c>
      <c r="I1" s="15" t="s">
        <v>292</v>
      </c>
    </row>
    <row r="2" spans="1:9" x14ac:dyDescent="0.25">
      <c r="A2" s="16" t="s">
        <v>98</v>
      </c>
      <c r="B2" s="16" t="s">
        <v>10</v>
      </c>
      <c r="C2" s="16" t="s">
        <v>99</v>
      </c>
      <c r="D2" s="5" t="s">
        <v>100</v>
      </c>
      <c r="E2" s="5" t="s">
        <v>101</v>
      </c>
      <c r="F2" s="18"/>
      <c r="G2" s="18"/>
      <c r="H2" s="18" t="e">
        <f>(G2/$F$28)*100</f>
        <v>#DIV/0!</v>
      </c>
    </row>
    <row r="3" spans="1:9" x14ac:dyDescent="0.25">
      <c r="A3" s="16"/>
      <c r="B3" s="16"/>
      <c r="C3" s="16"/>
      <c r="D3" t="s">
        <v>100</v>
      </c>
      <c r="E3" t="s">
        <v>293</v>
      </c>
      <c r="F3" s="19"/>
      <c r="G3" s="19"/>
      <c r="H3" s="19"/>
    </row>
    <row r="4" spans="1:9" x14ac:dyDescent="0.25">
      <c r="A4" s="16"/>
      <c r="B4" s="16"/>
      <c r="C4" s="16"/>
      <c r="D4" s="7" t="s">
        <v>100</v>
      </c>
      <c r="E4" s="7" t="s">
        <v>102</v>
      </c>
      <c r="F4" s="19"/>
      <c r="G4" s="19"/>
      <c r="H4" s="19"/>
    </row>
    <row r="5" spans="1:9" x14ac:dyDescent="0.25">
      <c r="A5" s="16"/>
      <c r="B5" s="16"/>
      <c r="C5" s="16"/>
      <c r="D5" s="5" t="s">
        <v>103</v>
      </c>
      <c r="E5" s="5" t="s">
        <v>104</v>
      </c>
      <c r="F5" s="18"/>
      <c r="G5" s="18"/>
      <c r="H5" s="18" t="e">
        <f>(G5/$F$28)*100</f>
        <v>#DIV/0!</v>
      </c>
    </row>
    <row r="6" spans="1:9" x14ac:dyDescent="0.25">
      <c r="A6" s="16"/>
      <c r="B6" s="16"/>
      <c r="C6" s="16"/>
      <c r="D6" t="s">
        <v>103</v>
      </c>
      <c r="E6" t="s">
        <v>105</v>
      </c>
      <c r="F6" s="19"/>
      <c r="G6" s="19"/>
      <c r="H6" s="19"/>
    </row>
    <row r="7" spans="1:9" x14ac:dyDescent="0.25">
      <c r="A7" s="16"/>
      <c r="B7" s="16"/>
      <c r="C7" s="16"/>
      <c r="D7" t="s">
        <v>103</v>
      </c>
      <c r="E7" t="s">
        <v>106</v>
      </c>
      <c r="F7" s="19"/>
      <c r="G7" s="19"/>
      <c r="H7" s="19"/>
    </row>
    <row r="8" spans="1:9" x14ac:dyDescent="0.25">
      <c r="A8" s="16"/>
      <c r="B8" s="16"/>
      <c r="C8" s="16"/>
      <c r="D8" s="7" t="s">
        <v>103</v>
      </c>
      <c r="E8" s="7" t="s">
        <v>107</v>
      </c>
      <c r="F8" s="21"/>
      <c r="G8" s="21"/>
      <c r="H8" s="21"/>
    </row>
    <row r="9" spans="1:9" x14ac:dyDescent="0.25">
      <c r="A9" s="16"/>
      <c r="B9" s="16"/>
      <c r="C9" s="16"/>
      <c r="D9" s="5" t="s">
        <v>108</v>
      </c>
      <c r="E9" s="5" t="s">
        <v>294</v>
      </c>
      <c r="F9" s="18"/>
      <c r="G9" s="18"/>
      <c r="H9" s="18" t="e">
        <f>(G9/$F$28)*100</f>
        <v>#DIV/0!</v>
      </c>
    </row>
    <row r="10" spans="1:9" x14ac:dyDescent="0.25">
      <c r="A10" s="16"/>
      <c r="B10" s="16"/>
      <c r="C10" s="16"/>
      <c r="D10" t="s">
        <v>108</v>
      </c>
      <c r="E10" t="s">
        <v>109</v>
      </c>
      <c r="F10" s="19"/>
      <c r="G10" s="19"/>
      <c r="H10" s="19"/>
    </row>
    <row r="11" spans="1:9" x14ac:dyDescent="0.25">
      <c r="A11" s="16"/>
      <c r="B11" s="16"/>
      <c r="C11" s="16"/>
      <c r="D11" t="s">
        <v>108</v>
      </c>
      <c r="E11" t="s">
        <v>110</v>
      </c>
      <c r="F11" s="19"/>
      <c r="G11" s="19"/>
      <c r="H11" s="19"/>
    </row>
    <row r="12" spans="1:9" x14ac:dyDescent="0.25">
      <c r="A12" s="16"/>
      <c r="B12" s="16"/>
      <c r="C12" s="16"/>
      <c r="D12" t="s">
        <v>108</v>
      </c>
      <c r="E12" t="s">
        <v>111</v>
      </c>
      <c r="F12" s="19"/>
      <c r="G12" s="19"/>
      <c r="H12" s="19"/>
    </row>
    <row r="13" spans="1:9" x14ac:dyDescent="0.25">
      <c r="A13" s="16"/>
      <c r="B13" s="16"/>
      <c r="C13" s="16"/>
      <c r="D13" t="s">
        <v>108</v>
      </c>
      <c r="E13" t="s">
        <v>112</v>
      </c>
      <c r="F13" s="19"/>
      <c r="G13" s="19"/>
      <c r="H13" s="19"/>
    </row>
    <row r="14" spans="1:9" x14ac:dyDescent="0.25">
      <c r="A14" s="16"/>
      <c r="B14" s="16"/>
      <c r="C14" s="16"/>
      <c r="D14" s="7" t="s">
        <v>108</v>
      </c>
      <c r="E14" s="7" t="s">
        <v>113</v>
      </c>
      <c r="F14" s="21"/>
      <c r="G14" s="21"/>
      <c r="H14" s="21"/>
    </row>
    <row r="15" spans="1:9" x14ac:dyDescent="0.25">
      <c r="A15" s="16"/>
      <c r="B15" s="16"/>
      <c r="C15" s="16"/>
      <c r="D15" s="5" t="s">
        <v>114</v>
      </c>
      <c r="E15" s="5" t="s">
        <v>115</v>
      </c>
      <c r="F15" s="18"/>
      <c r="G15" s="18"/>
      <c r="H15" s="22" t="e">
        <f>(G15/$F$28)*100</f>
        <v>#DIV/0!</v>
      </c>
    </row>
    <row r="16" spans="1:9" x14ac:dyDescent="0.25">
      <c r="A16" s="16"/>
      <c r="B16" s="16"/>
      <c r="C16" s="16"/>
      <c r="D16" t="s">
        <v>114</v>
      </c>
      <c r="E16" t="s">
        <v>116</v>
      </c>
      <c r="F16" s="19"/>
      <c r="G16" s="19"/>
      <c r="H16" s="19"/>
    </row>
    <row r="17" spans="1:9" x14ac:dyDescent="0.25">
      <c r="A17" s="16"/>
      <c r="B17" s="16"/>
      <c r="C17" s="16"/>
      <c r="D17" t="s">
        <v>114</v>
      </c>
      <c r="E17" t="s">
        <v>117</v>
      </c>
      <c r="F17" s="19"/>
      <c r="G17" s="19"/>
      <c r="H17" s="19"/>
    </row>
    <row r="18" spans="1:9" x14ac:dyDescent="0.25">
      <c r="A18" s="16"/>
      <c r="B18" s="16"/>
      <c r="C18" s="16"/>
      <c r="D18" s="7" t="s">
        <v>114</v>
      </c>
      <c r="E18" s="7" t="s">
        <v>118</v>
      </c>
      <c r="F18" s="21"/>
      <c r="G18" s="21"/>
      <c r="H18" s="21"/>
    </row>
    <row r="19" spans="1:9" x14ac:dyDescent="0.25">
      <c r="A19" s="16"/>
      <c r="B19" s="16"/>
      <c r="C19" s="16"/>
      <c r="D19" s="5" t="s">
        <v>119</v>
      </c>
      <c r="E19" s="5" t="s">
        <v>120</v>
      </c>
      <c r="F19" s="18"/>
      <c r="G19" s="18"/>
      <c r="H19" s="18" t="e">
        <f>(G19/$F$28)*100</f>
        <v>#DIV/0!</v>
      </c>
    </row>
    <row r="20" spans="1:9" x14ac:dyDescent="0.25">
      <c r="A20" s="16"/>
      <c r="B20" s="16"/>
      <c r="C20" s="16"/>
      <c r="D20" t="s">
        <v>119</v>
      </c>
      <c r="E20" t="s">
        <v>121</v>
      </c>
      <c r="F20" s="19"/>
      <c r="G20" s="19"/>
      <c r="H20" s="19"/>
    </row>
    <row r="21" spans="1:9" x14ac:dyDescent="0.25">
      <c r="A21" s="16"/>
      <c r="B21" s="16"/>
      <c r="C21" s="16"/>
      <c r="D21" t="s">
        <v>119</v>
      </c>
      <c r="E21" t="s">
        <v>122</v>
      </c>
      <c r="F21" s="19"/>
      <c r="G21" s="19"/>
      <c r="H21" s="19"/>
    </row>
    <row r="22" spans="1:9" x14ac:dyDescent="0.25">
      <c r="A22" s="16"/>
      <c r="B22" s="16"/>
      <c r="C22" s="16"/>
      <c r="D22" t="s">
        <v>119</v>
      </c>
      <c r="E22" t="s">
        <v>123</v>
      </c>
      <c r="F22" s="19"/>
      <c r="G22" s="19"/>
      <c r="H22" s="19"/>
    </row>
    <row r="23" spans="1:9" x14ac:dyDescent="0.25">
      <c r="A23" s="16"/>
      <c r="B23" s="16"/>
      <c r="C23" s="16"/>
      <c r="D23" t="s">
        <v>119</v>
      </c>
      <c r="E23" t="s">
        <v>124</v>
      </c>
      <c r="F23" s="19"/>
      <c r="G23" s="19"/>
      <c r="H23" s="19"/>
    </row>
    <row r="24" spans="1:9" x14ac:dyDescent="0.25">
      <c r="A24" s="16"/>
      <c r="B24" s="16"/>
      <c r="C24" s="16"/>
      <c r="D24" t="s">
        <v>119</v>
      </c>
      <c r="E24" t="s">
        <v>125</v>
      </c>
      <c r="F24" s="19"/>
      <c r="G24" s="19"/>
      <c r="H24" s="19"/>
    </row>
    <row r="25" spans="1:9" x14ac:dyDescent="0.25">
      <c r="A25" s="16"/>
      <c r="B25" s="16"/>
      <c r="C25" s="16"/>
      <c r="D25" t="s">
        <v>119</v>
      </c>
      <c r="E25" t="s">
        <v>126</v>
      </c>
      <c r="F25" s="19"/>
      <c r="G25" s="19"/>
      <c r="H25" s="19"/>
    </row>
    <row r="26" spans="1:9" x14ac:dyDescent="0.25">
      <c r="A26" s="16"/>
      <c r="B26" s="16"/>
      <c r="C26" s="16"/>
      <c r="D26" t="s">
        <v>119</v>
      </c>
      <c r="E26" t="s">
        <v>295</v>
      </c>
      <c r="F26" s="19"/>
      <c r="G26" s="19"/>
      <c r="H26" s="19"/>
    </row>
    <row r="27" spans="1:9" x14ac:dyDescent="0.25">
      <c r="A27" s="16"/>
      <c r="B27" s="16"/>
      <c r="C27" s="16"/>
      <c r="D27" t="s">
        <v>119</v>
      </c>
      <c r="E27" t="s">
        <v>127</v>
      </c>
      <c r="F27" s="19"/>
      <c r="G27" s="19"/>
      <c r="H27" s="19"/>
    </row>
    <row r="28" spans="1:9" x14ac:dyDescent="0.25">
      <c r="A28" s="16"/>
      <c r="B28" s="16"/>
      <c r="C28" s="16"/>
      <c r="D28" t="s">
        <v>119</v>
      </c>
      <c r="E28" t="s">
        <v>296</v>
      </c>
      <c r="F28" s="19"/>
      <c r="G28" s="19"/>
      <c r="H28" s="19"/>
    </row>
    <row r="29" spans="1:9" x14ac:dyDescent="0.25">
      <c r="A29" s="16"/>
      <c r="B29" s="16"/>
      <c r="C29" s="16"/>
      <c r="D29" s="7" t="s">
        <v>119</v>
      </c>
      <c r="E29" s="7" t="s">
        <v>128</v>
      </c>
      <c r="F29" s="24"/>
      <c r="G29" s="19"/>
      <c r="H29" s="19"/>
    </row>
    <row r="30" spans="1:9" x14ac:dyDescent="0.25">
      <c r="A30" s="16"/>
      <c r="B30" s="16"/>
      <c r="C30" s="16"/>
      <c r="D30" s="14" t="s">
        <v>129</v>
      </c>
      <c r="E30" s="17"/>
      <c r="F30" s="23"/>
      <c r="G30" s="18"/>
      <c r="H30" s="18"/>
      <c r="I30" s="31">
        <f>F28*0.7</f>
        <v>0</v>
      </c>
    </row>
    <row r="31" spans="1:9" x14ac:dyDescent="0.25">
      <c r="A31" s="16"/>
      <c r="B31" s="16"/>
      <c r="C31" s="16"/>
      <c r="D31" s="15" t="s">
        <v>130</v>
      </c>
      <c r="E31" s="16"/>
      <c r="F31" s="24"/>
      <c r="G31" s="19"/>
      <c r="H31" s="19"/>
      <c r="I31" s="32">
        <f>F29</f>
        <v>0</v>
      </c>
    </row>
    <row r="32" spans="1:9" x14ac:dyDescent="0.25">
      <c r="A32" s="16"/>
      <c r="B32" s="16"/>
      <c r="C32" s="16"/>
      <c r="D32" s="25" t="s">
        <v>131</v>
      </c>
      <c r="E32" s="20"/>
      <c r="F32" s="26"/>
      <c r="G32" s="21"/>
      <c r="H32" s="21"/>
      <c r="I32" s="33" t="e">
        <f>I30/I31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779D7-0DEF-497E-80F3-48F75BB95332}">
  <dimension ref="A1:L331"/>
  <sheetViews>
    <sheetView tabSelected="1" workbookViewId="0">
      <pane ySplit="1" topLeftCell="A2" activePane="bottomLeft" state="frozen"/>
      <selection pane="bottomLeft" sqref="A1:I331"/>
    </sheetView>
  </sheetViews>
  <sheetFormatPr defaultRowHeight="15" x14ac:dyDescent="0.25"/>
  <cols>
    <col min="1" max="1" width="12.5703125" style="35" bestFit="1" customWidth="1"/>
    <col min="2" max="2" width="19.42578125" style="35" customWidth="1"/>
    <col min="3" max="3" width="19.28515625" style="35" bestFit="1" customWidth="1"/>
    <col min="4" max="4" width="28.7109375" style="35" customWidth="1"/>
    <col min="5" max="5" width="54.140625" style="35" customWidth="1"/>
    <col min="6" max="6" width="8.42578125" style="35" bestFit="1" customWidth="1"/>
    <col min="7" max="7" width="41.28515625" style="35" customWidth="1"/>
    <col min="8" max="8" width="11.28515625" style="35" customWidth="1"/>
    <col min="9" max="9" width="15.140625" style="35" customWidth="1"/>
    <col min="10" max="10" width="16.85546875" style="35" bestFit="1" customWidth="1"/>
    <col min="11" max="11" width="12.5703125" style="35" bestFit="1" customWidth="1"/>
    <col min="12" max="12" width="14" style="35" bestFit="1" customWidth="1"/>
    <col min="13" max="16384" width="9.140625" style="35"/>
  </cols>
  <sheetData>
    <row r="1" spans="1:12" ht="46.5" customHeight="1" x14ac:dyDescent="0.25">
      <c r="A1" s="3" t="s">
        <v>90</v>
      </c>
      <c r="B1" s="3" t="s">
        <v>91</v>
      </c>
      <c r="C1" s="3" t="s">
        <v>92</v>
      </c>
      <c r="D1" s="3" t="s">
        <v>93</v>
      </c>
      <c r="E1" s="3" t="s">
        <v>297</v>
      </c>
      <c r="F1" s="3" t="s">
        <v>94</v>
      </c>
      <c r="G1" s="3" t="s">
        <v>298</v>
      </c>
      <c r="H1" s="3" t="s">
        <v>96</v>
      </c>
      <c r="I1" s="3" t="s">
        <v>97</v>
      </c>
      <c r="J1" s="34"/>
      <c r="K1" s="34"/>
      <c r="L1" s="34"/>
    </row>
    <row r="2" spans="1:12" x14ac:dyDescent="0.25">
      <c r="A2" s="5" t="s">
        <v>132</v>
      </c>
      <c r="B2" s="5" t="s">
        <v>15</v>
      </c>
      <c r="C2" s="5" t="s">
        <v>133</v>
      </c>
      <c r="D2" s="5" t="s">
        <v>299</v>
      </c>
      <c r="E2" s="5"/>
      <c r="F2" s="5" t="s">
        <v>134</v>
      </c>
      <c r="G2" s="8"/>
      <c r="H2" s="6">
        <f>SUM(G2:G16)</f>
        <v>0</v>
      </c>
      <c r="I2" s="8" t="e">
        <f>(H2/$G$329)*100</f>
        <v>#DIV/0!</v>
      </c>
      <c r="J2" s="36"/>
      <c r="K2" s="27"/>
    </row>
    <row r="3" spans="1:12" x14ac:dyDescent="0.25">
      <c r="A3"/>
      <c r="B3"/>
      <c r="C3"/>
      <c r="D3" t="s">
        <v>299</v>
      </c>
      <c r="E3"/>
      <c r="F3" t="s">
        <v>135</v>
      </c>
      <c r="G3" s="27"/>
      <c r="H3"/>
      <c r="I3"/>
    </row>
    <row r="4" spans="1:12" x14ac:dyDescent="0.25">
      <c r="A4"/>
      <c r="B4"/>
      <c r="C4"/>
      <c r="D4" t="s">
        <v>300</v>
      </c>
      <c r="E4"/>
      <c r="F4" t="s">
        <v>136</v>
      </c>
      <c r="G4" s="27"/>
      <c r="H4"/>
      <c r="I4"/>
    </row>
    <row r="5" spans="1:12" x14ac:dyDescent="0.25">
      <c r="A5"/>
      <c r="B5"/>
      <c r="C5"/>
      <c r="D5" t="s">
        <v>300</v>
      </c>
      <c r="E5"/>
      <c r="F5" t="s">
        <v>137</v>
      </c>
      <c r="G5" s="27"/>
      <c r="H5"/>
      <c r="I5"/>
    </row>
    <row r="6" spans="1:12" x14ac:dyDescent="0.25">
      <c r="A6"/>
      <c r="B6"/>
      <c r="C6"/>
      <c r="D6" t="s">
        <v>300</v>
      </c>
      <c r="E6"/>
      <c r="F6" t="s">
        <v>138</v>
      </c>
      <c r="G6" s="27"/>
      <c r="H6"/>
      <c r="I6"/>
    </row>
    <row r="7" spans="1:12" x14ac:dyDescent="0.25">
      <c r="A7"/>
      <c r="B7"/>
      <c r="C7"/>
      <c r="D7" t="s">
        <v>300</v>
      </c>
      <c r="E7"/>
      <c r="F7" t="s">
        <v>139</v>
      </c>
      <c r="G7" s="27"/>
      <c r="H7"/>
      <c r="I7"/>
    </row>
    <row r="8" spans="1:12" x14ac:dyDescent="0.25">
      <c r="A8"/>
      <c r="B8"/>
      <c r="C8"/>
      <c r="D8" t="s">
        <v>300</v>
      </c>
      <c r="E8"/>
      <c r="F8" t="s">
        <v>140</v>
      </c>
      <c r="G8" s="27"/>
      <c r="H8"/>
      <c r="I8"/>
    </row>
    <row r="9" spans="1:12" x14ac:dyDescent="0.25">
      <c r="A9"/>
      <c r="B9"/>
      <c r="C9"/>
      <c r="D9" t="s">
        <v>300</v>
      </c>
      <c r="E9"/>
      <c r="F9" t="s">
        <v>141</v>
      </c>
      <c r="G9" s="27"/>
      <c r="H9"/>
      <c r="I9"/>
    </row>
    <row r="10" spans="1:12" x14ac:dyDescent="0.25">
      <c r="A10"/>
      <c r="B10"/>
      <c r="C10"/>
      <c r="D10" t="s">
        <v>300</v>
      </c>
      <c r="E10"/>
      <c r="F10" t="s">
        <v>142</v>
      </c>
      <c r="G10" s="27"/>
      <c r="H10"/>
      <c r="I10"/>
    </row>
    <row r="11" spans="1:12" x14ac:dyDescent="0.25">
      <c r="A11"/>
      <c r="B11"/>
      <c r="C11"/>
      <c r="D11" t="s">
        <v>300</v>
      </c>
      <c r="E11"/>
      <c r="F11" t="s">
        <v>143</v>
      </c>
      <c r="G11" s="27"/>
      <c r="H11"/>
      <c r="I11"/>
    </row>
    <row r="12" spans="1:12" x14ac:dyDescent="0.25">
      <c r="A12"/>
      <c r="B12"/>
      <c r="C12"/>
      <c r="D12" t="s">
        <v>300</v>
      </c>
      <c r="E12"/>
      <c r="F12" t="s">
        <v>144</v>
      </c>
      <c r="G12" s="27"/>
      <c r="H12"/>
      <c r="I12"/>
    </row>
    <row r="13" spans="1:12" x14ac:dyDescent="0.25">
      <c r="A13"/>
      <c r="B13"/>
      <c r="C13"/>
      <c r="D13" t="s">
        <v>300</v>
      </c>
      <c r="E13"/>
      <c r="F13" t="s">
        <v>145</v>
      </c>
      <c r="G13" s="27"/>
      <c r="H13"/>
      <c r="I13"/>
    </row>
    <row r="14" spans="1:12" x14ac:dyDescent="0.25">
      <c r="A14"/>
      <c r="B14"/>
      <c r="C14"/>
      <c r="D14" t="s">
        <v>300</v>
      </c>
      <c r="E14"/>
      <c r="F14" t="s">
        <v>146</v>
      </c>
      <c r="G14" s="27"/>
      <c r="H14"/>
      <c r="I14"/>
    </row>
    <row r="15" spans="1:12" x14ac:dyDescent="0.25">
      <c r="A15"/>
      <c r="B15"/>
      <c r="C15"/>
      <c r="D15" t="s">
        <v>300</v>
      </c>
      <c r="E15"/>
      <c r="F15" t="s">
        <v>147</v>
      </c>
      <c r="G15" s="27"/>
      <c r="H15"/>
      <c r="I15"/>
    </row>
    <row r="16" spans="1:12" x14ac:dyDescent="0.25">
      <c r="A16" s="7"/>
      <c r="B16" s="7"/>
      <c r="C16" s="7"/>
      <c r="D16" s="7" t="s">
        <v>299</v>
      </c>
      <c r="E16" s="7"/>
      <c r="F16" s="7" t="s">
        <v>148</v>
      </c>
      <c r="G16" s="28"/>
      <c r="H16" s="7"/>
      <c r="I16" s="7"/>
    </row>
    <row r="17" spans="1:11" x14ac:dyDescent="0.25">
      <c r="A17" s="5"/>
      <c r="B17" s="5"/>
      <c r="C17" s="5"/>
      <c r="D17" s="5" t="s">
        <v>149</v>
      </c>
      <c r="E17" s="5"/>
      <c r="F17" s="5" t="s">
        <v>150</v>
      </c>
      <c r="G17" s="8"/>
      <c r="H17" s="8">
        <f>SUM(G17:G20)</f>
        <v>0</v>
      </c>
      <c r="I17" s="8" t="e">
        <f>(H17/$G$329)*100</f>
        <v>#DIV/0!</v>
      </c>
      <c r="J17" s="27"/>
      <c r="K17" s="27"/>
    </row>
    <row r="18" spans="1:11" x14ac:dyDescent="0.25">
      <c r="A18"/>
      <c r="B18"/>
      <c r="C18"/>
      <c r="D18" t="s">
        <v>149</v>
      </c>
      <c r="E18"/>
      <c r="F18" t="s">
        <v>135</v>
      </c>
      <c r="G18" s="27"/>
      <c r="H18"/>
      <c r="I18"/>
    </row>
    <row r="19" spans="1:11" x14ac:dyDescent="0.25">
      <c r="A19"/>
      <c r="B19"/>
      <c r="C19"/>
      <c r="D19" t="s">
        <v>149</v>
      </c>
      <c r="E19"/>
      <c r="F19" t="s">
        <v>151</v>
      </c>
      <c r="G19" s="27"/>
      <c r="H19"/>
      <c r="I19"/>
    </row>
    <row r="20" spans="1:11" x14ac:dyDescent="0.25">
      <c r="A20" s="7"/>
      <c r="B20" s="7"/>
      <c r="C20" s="7"/>
      <c r="D20" s="7" t="s">
        <v>149</v>
      </c>
      <c r="E20" s="7"/>
      <c r="F20" s="7" t="s">
        <v>152</v>
      </c>
      <c r="G20" s="28"/>
      <c r="H20" s="7"/>
      <c r="I20" s="7"/>
    </row>
    <row r="21" spans="1:11" x14ac:dyDescent="0.25">
      <c r="A21" s="5"/>
      <c r="B21" s="5"/>
      <c r="C21" s="5"/>
      <c r="D21" s="5" t="s">
        <v>153</v>
      </c>
      <c r="E21" s="5"/>
      <c r="F21" s="5" t="s">
        <v>150</v>
      </c>
      <c r="G21" s="8"/>
      <c r="H21" s="29">
        <f>SUM(G21:G28)</f>
        <v>0</v>
      </c>
      <c r="I21" s="8" t="e">
        <f>(H21/$G$329)*100</f>
        <v>#DIV/0!</v>
      </c>
      <c r="J21" s="37"/>
      <c r="K21" s="27"/>
    </row>
    <row r="22" spans="1:11" x14ac:dyDescent="0.25">
      <c r="A22"/>
      <c r="B22"/>
      <c r="C22"/>
      <c r="D22" t="s">
        <v>153</v>
      </c>
      <c r="E22"/>
      <c r="F22" t="s">
        <v>135</v>
      </c>
      <c r="G22" s="27"/>
      <c r="H22"/>
      <c r="I22"/>
    </row>
    <row r="23" spans="1:11" x14ac:dyDescent="0.25">
      <c r="A23"/>
      <c r="B23"/>
      <c r="C23"/>
      <c r="D23" t="s">
        <v>153</v>
      </c>
      <c r="E23"/>
      <c r="F23" t="s">
        <v>154</v>
      </c>
      <c r="G23" s="27"/>
      <c r="H23"/>
      <c r="I23"/>
    </row>
    <row r="24" spans="1:11" x14ac:dyDescent="0.25">
      <c r="A24"/>
      <c r="B24"/>
      <c r="C24"/>
      <c r="D24" t="s">
        <v>153</v>
      </c>
      <c r="E24"/>
      <c r="F24" t="s">
        <v>155</v>
      </c>
      <c r="G24" s="27"/>
      <c r="H24"/>
      <c r="I24"/>
    </row>
    <row r="25" spans="1:11" x14ac:dyDescent="0.25">
      <c r="A25"/>
      <c r="B25"/>
      <c r="C25"/>
      <c r="D25" t="s">
        <v>153</v>
      </c>
      <c r="E25"/>
      <c r="F25" t="s">
        <v>152</v>
      </c>
      <c r="G25" s="27"/>
      <c r="H25"/>
      <c r="I25"/>
    </row>
    <row r="26" spans="1:11" x14ac:dyDescent="0.25">
      <c r="A26"/>
      <c r="B26"/>
      <c r="C26"/>
      <c r="D26" t="s">
        <v>153</v>
      </c>
      <c r="E26"/>
      <c r="F26" t="s">
        <v>156</v>
      </c>
      <c r="G26" s="27"/>
      <c r="H26"/>
      <c r="I26"/>
    </row>
    <row r="27" spans="1:11" x14ac:dyDescent="0.25">
      <c r="A27"/>
      <c r="B27"/>
      <c r="C27"/>
      <c r="D27" t="s">
        <v>153</v>
      </c>
      <c r="E27"/>
      <c r="F27" t="s">
        <v>157</v>
      </c>
      <c r="G27" s="27"/>
      <c r="H27"/>
      <c r="I27"/>
    </row>
    <row r="28" spans="1:11" x14ac:dyDescent="0.25">
      <c r="A28" s="7"/>
      <c r="B28" s="7"/>
      <c r="C28" s="7"/>
      <c r="D28" s="7" t="s">
        <v>153</v>
      </c>
      <c r="E28" s="7"/>
      <c r="F28" s="7" t="s">
        <v>148</v>
      </c>
      <c r="G28" s="28"/>
      <c r="H28" s="7"/>
      <c r="I28" s="7"/>
    </row>
    <row r="29" spans="1:11" x14ac:dyDescent="0.25">
      <c r="A29" s="5"/>
      <c r="B29" s="5"/>
      <c r="C29" s="5"/>
      <c r="D29" s="5" t="s">
        <v>158</v>
      </c>
      <c r="E29" s="5"/>
      <c r="F29" s="5" t="s">
        <v>150</v>
      </c>
      <c r="G29" s="8"/>
      <c r="H29" s="29">
        <f>SUM(G29:G35)</f>
        <v>0</v>
      </c>
      <c r="I29" s="8" t="e">
        <f>(H29/$G$329)*100</f>
        <v>#DIV/0!</v>
      </c>
      <c r="J29" s="37"/>
      <c r="K29" s="27"/>
    </row>
    <row r="30" spans="1:11" x14ac:dyDescent="0.25">
      <c r="A30"/>
      <c r="B30"/>
      <c r="C30"/>
      <c r="D30" t="s">
        <v>158</v>
      </c>
      <c r="E30"/>
      <c r="F30" t="s">
        <v>135</v>
      </c>
      <c r="G30" s="27"/>
      <c r="H30"/>
      <c r="I30"/>
    </row>
    <row r="31" spans="1:11" x14ac:dyDescent="0.25">
      <c r="A31"/>
      <c r="B31"/>
      <c r="C31"/>
      <c r="D31" t="s">
        <v>158</v>
      </c>
      <c r="E31"/>
      <c r="F31" t="s">
        <v>159</v>
      </c>
      <c r="G31" s="27"/>
      <c r="H31"/>
      <c r="I31"/>
    </row>
    <row r="32" spans="1:11" x14ac:dyDescent="0.25">
      <c r="A32"/>
      <c r="B32"/>
      <c r="C32"/>
      <c r="D32" t="s">
        <v>158</v>
      </c>
      <c r="E32"/>
      <c r="F32" t="s">
        <v>155</v>
      </c>
      <c r="G32" s="27"/>
      <c r="H32"/>
      <c r="I32"/>
    </row>
    <row r="33" spans="1:11" x14ac:dyDescent="0.25">
      <c r="A33"/>
      <c r="B33"/>
      <c r="C33"/>
      <c r="D33" t="s">
        <v>158</v>
      </c>
      <c r="E33"/>
      <c r="F33" t="s">
        <v>152</v>
      </c>
      <c r="G33" s="27"/>
      <c r="H33"/>
      <c r="I33"/>
    </row>
    <row r="34" spans="1:11" x14ac:dyDescent="0.25">
      <c r="A34"/>
      <c r="B34"/>
      <c r="C34"/>
      <c r="D34" t="s">
        <v>158</v>
      </c>
      <c r="E34"/>
      <c r="F34" t="s">
        <v>157</v>
      </c>
      <c r="G34" s="27"/>
      <c r="H34"/>
      <c r="I34"/>
    </row>
    <row r="35" spans="1:11" x14ac:dyDescent="0.25">
      <c r="A35" s="7"/>
      <c r="B35" s="7"/>
      <c r="C35" s="7"/>
      <c r="D35" s="7" t="s">
        <v>158</v>
      </c>
      <c r="E35" s="7"/>
      <c r="F35" s="7" t="s">
        <v>156</v>
      </c>
      <c r="G35" s="28"/>
      <c r="H35" s="7"/>
      <c r="I35" s="7"/>
    </row>
    <row r="36" spans="1:11" x14ac:dyDescent="0.25">
      <c r="A36" s="5"/>
      <c r="B36" s="5"/>
      <c r="C36" s="5"/>
      <c r="D36" s="5" t="s">
        <v>160</v>
      </c>
      <c r="E36" s="5"/>
      <c r="F36" s="5" t="s">
        <v>150</v>
      </c>
      <c r="G36" s="8"/>
      <c r="H36" s="8">
        <f>SUM(G36:G45)</f>
        <v>0</v>
      </c>
      <c r="I36" s="8" t="e">
        <f>(H36/$G$329)*100</f>
        <v>#DIV/0!</v>
      </c>
      <c r="J36" s="27"/>
      <c r="K36" s="27"/>
    </row>
    <row r="37" spans="1:11" x14ac:dyDescent="0.25">
      <c r="A37"/>
      <c r="B37"/>
      <c r="C37"/>
      <c r="D37" t="s">
        <v>160</v>
      </c>
      <c r="E37"/>
      <c r="F37" t="s">
        <v>135</v>
      </c>
      <c r="G37" s="27"/>
      <c r="H37"/>
      <c r="I37"/>
    </row>
    <row r="38" spans="1:11" x14ac:dyDescent="0.25">
      <c r="A38"/>
      <c r="B38"/>
      <c r="C38"/>
      <c r="D38" t="s">
        <v>160</v>
      </c>
      <c r="E38"/>
      <c r="F38" t="s">
        <v>151</v>
      </c>
      <c r="G38" s="27"/>
      <c r="H38"/>
      <c r="I38"/>
    </row>
    <row r="39" spans="1:11" x14ac:dyDescent="0.25">
      <c r="A39"/>
      <c r="B39"/>
      <c r="C39"/>
      <c r="D39" t="s">
        <v>160</v>
      </c>
      <c r="E39"/>
      <c r="F39" t="s">
        <v>161</v>
      </c>
      <c r="G39" s="27"/>
      <c r="H39"/>
      <c r="I39"/>
    </row>
    <row r="40" spans="1:11" x14ac:dyDescent="0.25">
      <c r="A40"/>
      <c r="B40"/>
      <c r="C40"/>
      <c r="D40" t="s">
        <v>160</v>
      </c>
      <c r="E40"/>
      <c r="F40" t="s">
        <v>162</v>
      </c>
      <c r="G40" s="27"/>
      <c r="H40"/>
      <c r="I40"/>
    </row>
    <row r="41" spans="1:11" x14ac:dyDescent="0.25">
      <c r="A41"/>
      <c r="B41"/>
      <c r="C41"/>
      <c r="D41" t="s">
        <v>160</v>
      </c>
      <c r="E41"/>
      <c r="F41" t="s">
        <v>163</v>
      </c>
      <c r="G41" s="27"/>
      <c r="H41"/>
      <c r="I41"/>
    </row>
    <row r="42" spans="1:11" x14ac:dyDescent="0.25">
      <c r="A42"/>
      <c r="B42"/>
      <c r="C42"/>
      <c r="D42" t="s">
        <v>160</v>
      </c>
      <c r="E42"/>
      <c r="F42" t="s">
        <v>155</v>
      </c>
      <c r="G42" s="27"/>
      <c r="H42"/>
      <c r="I42"/>
    </row>
    <row r="43" spans="1:11" x14ac:dyDescent="0.25">
      <c r="A43"/>
      <c r="B43"/>
      <c r="C43"/>
      <c r="D43" t="s">
        <v>160</v>
      </c>
      <c r="E43"/>
      <c r="F43" t="s">
        <v>164</v>
      </c>
      <c r="G43" s="27"/>
      <c r="H43"/>
      <c r="I43"/>
    </row>
    <row r="44" spans="1:11" x14ac:dyDescent="0.25">
      <c r="A44"/>
      <c r="B44"/>
      <c r="C44"/>
      <c r="D44" t="s">
        <v>160</v>
      </c>
      <c r="E44"/>
      <c r="F44" t="s">
        <v>165</v>
      </c>
      <c r="G44" s="27"/>
      <c r="H44"/>
      <c r="I44"/>
    </row>
    <row r="45" spans="1:11" x14ac:dyDescent="0.25">
      <c r="A45" s="7"/>
      <c r="B45" s="7"/>
      <c r="C45" s="7"/>
      <c r="D45" s="7" t="s">
        <v>160</v>
      </c>
      <c r="E45" s="7"/>
      <c r="F45" s="7" t="s">
        <v>148</v>
      </c>
      <c r="G45" s="28"/>
      <c r="H45" s="7"/>
      <c r="I45" s="7"/>
    </row>
    <row r="46" spans="1:11" x14ac:dyDescent="0.25">
      <c r="A46" s="5"/>
      <c r="B46" s="5"/>
      <c r="C46" s="5"/>
      <c r="D46" s="5" t="s">
        <v>166</v>
      </c>
      <c r="E46" s="5"/>
      <c r="F46" s="5" t="s">
        <v>150</v>
      </c>
      <c r="G46" s="8"/>
      <c r="H46" s="29">
        <f>SUM(G46:G54)</f>
        <v>0</v>
      </c>
      <c r="I46" s="5"/>
      <c r="J46" s="37"/>
    </row>
    <row r="47" spans="1:11" x14ac:dyDescent="0.25">
      <c r="A47"/>
      <c r="B47"/>
      <c r="C47"/>
      <c r="D47" t="s">
        <v>166</v>
      </c>
      <c r="E47"/>
      <c r="F47" t="s">
        <v>135</v>
      </c>
      <c r="G47" s="27"/>
      <c r="H47"/>
      <c r="I47"/>
    </row>
    <row r="48" spans="1:11" x14ac:dyDescent="0.25">
      <c r="A48"/>
      <c r="B48"/>
      <c r="C48"/>
      <c r="D48" t="s">
        <v>166</v>
      </c>
      <c r="E48"/>
      <c r="F48" t="s">
        <v>151</v>
      </c>
      <c r="G48" s="27"/>
      <c r="H48"/>
      <c r="I48"/>
    </row>
    <row r="49" spans="1:11" x14ac:dyDescent="0.25">
      <c r="A49"/>
      <c r="B49"/>
      <c r="C49"/>
      <c r="D49" t="s">
        <v>166</v>
      </c>
      <c r="E49"/>
      <c r="F49" t="s">
        <v>161</v>
      </c>
      <c r="G49" s="27"/>
      <c r="H49"/>
      <c r="I49"/>
    </row>
    <row r="50" spans="1:11" x14ac:dyDescent="0.25">
      <c r="A50"/>
      <c r="B50"/>
      <c r="C50"/>
      <c r="D50" t="s">
        <v>166</v>
      </c>
      <c r="E50"/>
      <c r="F50" t="s">
        <v>155</v>
      </c>
      <c r="G50" s="27"/>
      <c r="H50"/>
      <c r="I50"/>
    </row>
    <row r="51" spans="1:11" x14ac:dyDescent="0.25">
      <c r="A51"/>
      <c r="B51"/>
      <c r="C51"/>
      <c r="D51" t="s">
        <v>166</v>
      </c>
      <c r="E51"/>
      <c r="F51" t="s">
        <v>167</v>
      </c>
      <c r="G51" s="27"/>
      <c r="H51"/>
      <c r="I51"/>
    </row>
    <row r="52" spans="1:11" x14ac:dyDescent="0.25">
      <c r="A52"/>
      <c r="B52"/>
      <c r="C52"/>
      <c r="D52" t="s">
        <v>166</v>
      </c>
      <c r="E52"/>
      <c r="F52" t="s">
        <v>162</v>
      </c>
      <c r="G52" s="27"/>
      <c r="H52"/>
      <c r="I52"/>
    </row>
    <row r="53" spans="1:11" x14ac:dyDescent="0.25">
      <c r="A53"/>
      <c r="B53"/>
      <c r="C53"/>
      <c r="D53" t="s">
        <v>166</v>
      </c>
      <c r="E53"/>
      <c r="F53" t="s">
        <v>168</v>
      </c>
      <c r="G53" s="27"/>
      <c r="H53"/>
      <c r="I53"/>
    </row>
    <row r="54" spans="1:11" x14ac:dyDescent="0.25">
      <c r="A54" s="7"/>
      <c r="B54" s="7"/>
      <c r="C54" s="7"/>
      <c r="D54" s="7" t="s">
        <v>166</v>
      </c>
      <c r="E54" s="7"/>
      <c r="F54" s="7" t="s">
        <v>148</v>
      </c>
      <c r="G54" s="28"/>
      <c r="H54" s="7"/>
      <c r="I54" s="7"/>
    </row>
    <row r="55" spans="1:11" x14ac:dyDescent="0.25">
      <c r="A55" s="5"/>
      <c r="B55" s="5"/>
      <c r="C55" s="5"/>
      <c r="D55" s="5" t="s">
        <v>169</v>
      </c>
      <c r="E55" s="5"/>
      <c r="F55" s="5" t="s">
        <v>135</v>
      </c>
      <c r="G55" s="8"/>
      <c r="H55" s="29">
        <f>SUM(G55:G62)</f>
        <v>0</v>
      </c>
      <c r="I55" s="8" t="e">
        <f>(H55/$G$329)*100</f>
        <v>#DIV/0!</v>
      </c>
      <c r="J55" s="37"/>
      <c r="K55" s="27"/>
    </row>
    <row r="56" spans="1:11" x14ac:dyDescent="0.25">
      <c r="A56"/>
      <c r="B56"/>
      <c r="C56"/>
      <c r="D56" t="s">
        <v>169</v>
      </c>
      <c r="E56"/>
      <c r="F56" t="s">
        <v>170</v>
      </c>
      <c r="G56" s="27"/>
      <c r="H56"/>
      <c r="I56"/>
    </row>
    <row r="57" spans="1:11" x14ac:dyDescent="0.25">
      <c r="A57"/>
      <c r="B57"/>
      <c r="C57"/>
      <c r="D57" t="s">
        <v>169</v>
      </c>
      <c r="E57"/>
      <c r="F57" t="s">
        <v>140</v>
      </c>
      <c r="G57" s="27"/>
      <c r="H57"/>
      <c r="I57"/>
    </row>
    <row r="58" spans="1:11" x14ac:dyDescent="0.25">
      <c r="A58"/>
      <c r="B58"/>
      <c r="C58"/>
      <c r="D58" t="s">
        <v>169</v>
      </c>
      <c r="E58"/>
      <c r="F58" t="s">
        <v>155</v>
      </c>
      <c r="G58" s="27"/>
      <c r="H58"/>
      <c r="I58"/>
    </row>
    <row r="59" spans="1:11" x14ac:dyDescent="0.25">
      <c r="A59"/>
      <c r="B59"/>
      <c r="C59"/>
      <c r="D59" t="s">
        <v>169</v>
      </c>
      <c r="E59"/>
      <c r="F59" t="s">
        <v>171</v>
      </c>
      <c r="G59" s="27"/>
      <c r="H59"/>
      <c r="I59"/>
    </row>
    <row r="60" spans="1:11" x14ac:dyDescent="0.25">
      <c r="A60"/>
      <c r="B60"/>
      <c r="C60"/>
      <c r="D60" t="s">
        <v>169</v>
      </c>
      <c r="E60"/>
      <c r="F60" t="s">
        <v>165</v>
      </c>
      <c r="G60" s="27"/>
      <c r="H60"/>
      <c r="I60"/>
    </row>
    <row r="61" spans="1:11" x14ac:dyDescent="0.25">
      <c r="A61"/>
      <c r="B61"/>
      <c r="C61"/>
      <c r="D61" t="s">
        <v>169</v>
      </c>
      <c r="E61"/>
      <c r="F61" t="s">
        <v>146</v>
      </c>
      <c r="G61" s="27"/>
      <c r="H61"/>
      <c r="I61"/>
    </row>
    <row r="62" spans="1:11" x14ac:dyDescent="0.25">
      <c r="A62" s="7"/>
      <c r="B62" s="7"/>
      <c r="C62" s="7"/>
      <c r="D62" s="7" t="s">
        <v>169</v>
      </c>
      <c r="E62" s="7"/>
      <c r="F62" s="7" t="s">
        <v>148</v>
      </c>
      <c r="G62" s="28"/>
      <c r="H62" s="7"/>
      <c r="I62" s="7"/>
    </row>
    <row r="63" spans="1:11" x14ac:dyDescent="0.25">
      <c r="A63" s="5"/>
      <c r="B63" s="5"/>
      <c r="C63" s="5"/>
      <c r="D63" s="5" t="s">
        <v>172</v>
      </c>
      <c r="E63" s="5"/>
      <c r="F63" s="5" t="s">
        <v>135</v>
      </c>
      <c r="G63" s="8"/>
      <c r="H63" s="29">
        <f>SUM(G63:G69)</f>
        <v>0</v>
      </c>
      <c r="I63" s="8" t="e">
        <f>(H63/$G$329)*100</f>
        <v>#DIV/0!</v>
      </c>
      <c r="J63" s="37"/>
      <c r="K63" s="27"/>
    </row>
    <row r="64" spans="1:11" x14ac:dyDescent="0.25">
      <c r="A64"/>
      <c r="B64"/>
      <c r="C64"/>
      <c r="D64" t="s">
        <v>172</v>
      </c>
      <c r="E64"/>
      <c r="F64" t="s">
        <v>173</v>
      </c>
      <c r="G64" s="27"/>
      <c r="H64"/>
      <c r="I64"/>
    </row>
    <row r="65" spans="1:11" x14ac:dyDescent="0.25">
      <c r="A65"/>
      <c r="B65"/>
      <c r="C65"/>
      <c r="D65" t="s">
        <v>172</v>
      </c>
      <c r="E65"/>
      <c r="F65" t="s">
        <v>174</v>
      </c>
      <c r="G65" s="27"/>
      <c r="H65"/>
      <c r="I65"/>
    </row>
    <row r="66" spans="1:11" x14ac:dyDescent="0.25">
      <c r="A66"/>
      <c r="B66"/>
      <c r="C66"/>
      <c r="D66" t="s">
        <v>172</v>
      </c>
      <c r="E66"/>
      <c r="F66" t="s">
        <v>175</v>
      </c>
      <c r="G66" s="27"/>
      <c r="H66"/>
      <c r="I66"/>
    </row>
    <row r="67" spans="1:11" x14ac:dyDescent="0.25">
      <c r="A67"/>
      <c r="B67"/>
      <c r="C67"/>
      <c r="D67" t="s">
        <v>172</v>
      </c>
      <c r="E67"/>
      <c r="F67" t="s">
        <v>176</v>
      </c>
      <c r="G67" s="27"/>
      <c r="H67"/>
      <c r="I67"/>
    </row>
    <row r="68" spans="1:11" x14ac:dyDescent="0.25">
      <c r="A68"/>
      <c r="B68"/>
      <c r="C68"/>
      <c r="D68" t="s">
        <v>172</v>
      </c>
      <c r="E68"/>
      <c r="F68" t="s">
        <v>177</v>
      </c>
      <c r="G68" s="27"/>
      <c r="H68"/>
      <c r="I68"/>
    </row>
    <row r="69" spans="1:11" x14ac:dyDescent="0.25">
      <c r="A69" s="7"/>
      <c r="B69" s="7"/>
      <c r="C69" s="7"/>
      <c r="D69" s="7" t="s">
        <v>172</v>
      </c>
      <c r="E69" s="7"/>
      <c r="F69" s="7" t="s">
        <v>178</v>
      </c>
      <c r="G69" s="28"/>
      <c r="H69" s="7"/>
      <c r="I69" s="7"/>
    </row>
    <row r="70" spans="1:11" x14ac:dyDescent="0.25">
      <c r="A70" s="5"/>
      <c r="B70" s="5"/>
      <c r="C70" s="5"/>
      <c r="D70" s="5" t="s">
        <v>179</v>
      </c>
      <c r="E70" s="5"/>
      <c r="F70" s="5" t="s">
        <v>150</v>
      </c>
      <c r="G70" s="8"/>
      <c r="H70" s="29">
        <f>SUM(G70:G77)</f>
        <v>0</v>
      </c>
      <c r="I70" s="8" t="e">
        <f>(H70/$G$329)*100</f>
        <v>#DIV/0!</v>
      </c>
      <c r="J70" s="37"/>
      <c r="K70" s="27"/>
    </row>
    <row r="71" spans="1:11" x14ac:dyDescent="0.25">
      <c r="A71"/>
      <c r="B71"/>
      <c r="C71"/>
      <c r="D71" t="s">
        <v>179</v>
      </c>
      <c r="E71"/>
      <c r="F71" t="s">
        <v>135</v>
      </c>
      <c r="G71" s="27"/>
      <c r="H71"/>
      <c r="I71"/>
    </row>
    <row r="72" spans="1:11" x14ac:dyDescent="0.25">
      <c r="A72"/>
      <c r="B72"/>
      <c r="C72"/>
      <c r="D72" t="s">
        <v>179</v>
      </c>
      <c r="E72"/>
      <c r="F72" t="s">
        <v>180</v>
      </c>
      <c r="G72" s="27"/>
      <c r="H72"/>
      <c r="I72"/>
    </row>
    <row r="73" spans="1:11" x14ac:dyDescent="0.25">
      <c r="A73"/>
      <c r="B73"/>
      <c r="C73"/>
      <c r="D73" t="s">
        <v>179</v>
      </c>
      <c r="E73"/>
      <c r="F73" t="s">
        <v>174</v>
      </c>
      <c r="G73" s="27"/>
      <c r="H73"/>
      <c r="I73"/>
    </row>
    <row r="74" spans="1:11" x14ac:dyDescent="0.25">
      <c r="A74"/>
      <c r="B74"/>
      <c r="C74"/>
      <c r="D74" t="s">
        <v>179</v>
      </c>
      <c r="E74"/>
      <c r="F74" t="s">
        <v>175</v>
      </c>
      <c r="G74" s="27"/>
      <c r="H74"/>
      <c r="I74"/>
    </row>
    <row r="75" spans="1:11" x14ac:dyDescent="0.25">
      <c r="A75"/>
      <c r="B75"/>
      <c r="C75"/>
      <c r="D75" t="s">
        <v>179</v>
      </c>
      <c r="E75"/>
      <c r="F75" t="s">
        <v>176</v>
      </c>
      <c r="G75" s="27"/>
      <c r="H75"/>
      <c r="I75"/>
    </row>
    <row r="76" spans="1:11" x14ac:dyDescent="0.25">
      <c r="A76"/>
      <c r="B76"/>
      <c r="C76"/>
      <c r="D76" t="s">
        <v>179</v>
      </c>
      <c r="E76"/>
      <c r="F76" t="s">
        <v>177</v>
      </c>
      <c r="G76" s="27"/>
      <c r="H76"/>
      <c r="I76"/>
    </row>
    <row r="77" spans="1:11" x14ac:dyDescent="0.25">
      <c r="A77" s="7"/>
      <c r="B77" s="7"/>
      <c r="C77" s="7"/>
      <c r="D77" s="7" t="s">
        <v>179</v>
      </c>
      <c r="E77" s="7"/>
      <c r="F77" s="7" t="s">
        <v>178</v>
      </c>
      <c r="G77" s="28"/>
      <c r="H77" s="7"/>
      <c r="I77" s="7"/>
    </row>
    <row r="78" spans="1:11" x14ac:dyDescent="0.25">
      <c r="A78" s="5"/>
      <c r="B78" s="5"/>
      <c r="C78" s="5"/>
      <c r="D78" s="5" t="s">
        <v>181</v>
      </c>
      <c r="E78" s="5"/>
      <c r="F78" s="5" t="s">
        <v>150</v>
      </c>
      <c r="G78" s="8"/>
      <c r="H78" s="29">
        <f>SUM(G78:G83)</f>
        <v>0</v>
      </c>
      <c r="I78" s="8" t="e">
        <f>(H78/$G$329)*100</f>
        <v>#DIV/0!</v>
      </c>
      <c r="J78" s="37"/>
      <c r="K78" s="27"/>
    </row>
    <row r="79" spans="1:11" x14ac:dyDescent="0.25">
      <c r="A79"/>
      <c r="B79"/>
      <c r="C79"/>
      <c r="D79" t="s">
        <v>181</v>
      </c>
      <c r="E79"/>
      <c r="F79" t="s">
        <v>135</v>
      </c>
      <c r="G79" s="27"/>
      <c r="H79"/>
      <c r="I79"/>
    </row>
    <row r="80" spans="1:11" x14ac:dyDescent="0.25">
      <c r="A80"/>
      <c r="B80"/>
      <c r="C80"/>
      <c r="D80" t="s">
        <v>181</v>
      </c>
      <c r="E80"/>
      <c r="F80" t="s">
        <v>182</v>
      </c>
      <c r="G80" s="27"/>
      <c r="H80"/>
      <c r="I80"/>
    </row>
    <row r="81" spans="1:11" x14ac:dyDescent="0.25">
      <c r="A81"/>
      <c r="B81"/>
      <c r="C81"/>
      <c r="D81" t="s">
        <v>181</v>
      </c>
      <c r="E81"/>
      <c r="F81" t="s">
        <v>175</v>
      </c>
      <c r="G81" s="27"/>
      <c r="H81"/>
      <c r="I81"/>
    </row>
    <row r="82" spans="1:11" x14ac:dyDescent="0.25">
      <c r="A82"/>
      <c r="B82"/>
      <c r="C82"/>
      <c r="D82" t="s">
        <v>181</v>
      </c>
      <c r="E82"/>
      <c r="F82" t="s">
        <v>183</v>
      </c>
      <c r="G82" s="27"/>
      <c r="H82"/>
      <c r="I82"/>
    </row>
    <row r="83" spans="1:11" x14ac:dyDescent="0.25">
      <c r="A83" s="7"/>
      <c r="B83" s="7"/>
      <c r="C83" s="7"/>
      <c r="D83" s="7" t="s">
        <v>181</v>
      </c>
      <c r="E83" s="7"/>
      <c r="F83" s="7" t="s">
        <v>178</v>
      </c>
      <c r="G83" s="28"/>
      <c r="H83" s="7"/>
      <c r="I83" s="7"/>
    </row>
    <row r="84" spans="1:11" x14ac:dyDescent="0.25">
      <c r="A84" s="5"/>
      <c r="B84" s="5"/>
      <c r="C84" s="5"/>
      <c r="D84" s="5" t="s">
        <v>184</v>
      </c>
      <c r="E84" s="5"/>
      <c r="F84" s="5" t="s">
        <v>185</v>
      </c>
      <c r="G84" s="8"/>
      <c r="H84" s="29">
        <f>SUM(G84:G95)</f>
        <v>0</v>
      </c>
      <c r="I84" s="8" t="e">
        <f>(H84/$G$329)*100</f>
        <v>#DIV/0!</v>
      </c>
      <c r="J84" s="37"/>
      <c r="K84" s="27"/>
    </row>
    <row r="85" spans="1:11" x14ac:dyDescent="0.25">
      <c r="A85"/>
      <c r="B85"/>
      <c r="C85"/>
      <c r="D85" t="s">
        <v>184</v>
      </c>
      <c r="E85"/>
      <c r="F85" t="s">
        <v>135</v>
      </c>
      <c r="G85" s="27"/>
      <c r="H85"/>
      <c r="I85"/>
    </row>
    <row r="86" spans="1:11" x14ac:dyDescent="0.25">
      <c r="A86"/>
      <c r="B86"/>
      <c r="C86"/>
      <c r="D86" t="s">
        <v>184</v>
      </c>
      <c r="E86"/>
      <c r="F86" t="s">
        <v>186</v>
      </c>
      <c r="G86" s="27"/>
      <c r="H86"/>
      <c r="I86"/>
    </row>
    <row r="87" spans="1:11" x14ac:dyDescent="0.25">
      <c r="A87"/>
      <c r="B87"/>
      <c r="C87"/>
      <c r="D87" t="s">
        <v>184</v>
      </c>
      <c r="E87"/>
      <c r="F87" t="s">
        <v>187</v>
      </c>
      <c r="G87" s="27"/>
      <c r="H87"/>
      <c r="I87"/>
    </row>
    <row r="88" spans="1:11" x14ac:dyDescent="0.25">
      <c r="A88"/>
      <c r="B88"/>
      <c r="C88"/>
      <c r="D88" t="s">
        <v>184</v>
      </c>
      <c r="E88"/>
      <c r="F88" t="s">
        <v>188</v>
      </c>
      <c r="G88" s="27"/>
      <c r="H88"/>
      <c r="I88"/>
    </row>
    <row r="89" spans="1:11" x14ac:dyDescent="0.25">
      <c r="A89"/>
      <c r="B89"/>
      <c r="C89"/>
      <c r="D89" t="s">
        <v>184</v>
      </c>
      <c r="E89"/>
      <c r="F89" t="s">
        <v>189</v>
      </c>
      <c r="G89" s="27"/>
      <c r="H89"/>
      <c r="I89"/>
    </row>
    <row r="90" spans="1:11" x14ac:dyDescent="0.25">
      <c r="A90"/>
      <c r="B90"/>
      <c r="C90"/>
      <c r="D90" t="s">
        <v>184</v>
      </c>
      <c r="E90"/>
      <c r="F90" t="s">
        <v>190</v>
      </c>
      <c r="G90" s="27"/>
      <c r="H90"/>
      <c r="I90"/>
    </row>
    <row r="91" spans="1:11" x14ac:dyDescent="0.25">
      <c r="A91"/>
      <c r="B91"/>
      <c r="C91"/>
      <c r="D91" t="s">
        <v>184</v>
      </c>
      <c r="E91"/>
      <c r="F91" t="s">
        <v>191</v>
      </c>
      <c r="G91" s="27"/>
      <c r="H91"/>
      <c r="I91"/>
    </row>
    <row r="92" spans="1:11" x14ac:dyDescent="0.25">
      <c r="A92"/>
      <c r="B92"/>
      <c r="C92"/>
      <c r="D92" t="s">
        <v>184</v>
      </c>
      <c r="E92"/>
      <c r="F92" t="s">
        <v>192</v>
      </c>
      <c r="G92" s="27"/>
      <c r="H92"/>
      <c r="I92"/>
    </row>
    <row r="93" spans="1:11" x14ac:dyDescent="0.25">
      <c r="A93"/>
      <c r="B93"/>
      <c r="C93"/>
      <c r="D93" t="s">
        <v>184</v>
      </c>
      <c r="E93"/>
      <c r="F93" t="s">
        <v>193</v>
      </c>
      <c r="G93" s="27"/>
      <c r="H93"/>
      <c r="I93"/>
    </row>
    <row r="94" spans="1:11" x14ac:dyDescent="0.25">
      <c r="A94"/>
      <c r="B94"/>
      <c r="C94"/>
      <c r="D94" t="s">
        <v>184</v>
      </c>
      <c r="E94"/>
      <c r="F94" t="s">
        <v>194</v>
      </c>
      <c r="G94" s="27"/>
      <c r="H94"/>
      <c r="I94"/>
    </row>
    <row r="95" spans="1:11" x14ac:dyDescent="0.25">
      <c r="A95" s="7"/>
      <c r="B95" s="7"/>
      <c r="C95" s="7"/>
      <c r="D95" s="7" t="s">
        <v>184</v>
      </c>
      <c r="E95" s="7"/>
      <c r="F95" s="7" t="s">
        <v>148</v>
      </c>
      <c r="G95" s="28"/>
      <c r="H95" s="7"/>
      <c r="I95" s="7"/>
    </row>
    <row r="96" spans="1:11" x14ac:dyDescent="0.25">
      <c r="A96" s="5"/>
      <c r="B96" s="5"/>
      <c r="C96" s="5"/>
      <c r="D96" s="5" t="s">
        <v>195</v>
      </c>
      <c r="E96" s="5"/>
      <c r="F96" s="5" t="s">
        <v>185</v>
      </c>
      <c r="G96" s="8"/>
      <c r="H96" s="29">
        <f>SUM(G96:G103)</f>
        <v>0</v>
      </c>
      <c r="I96" s="8" t="e">
        <f>(H96/$G$329)*100</f>
        <v>#DIV/0!</v>
      </c>
      <c r="J96" s="37"/>
      <c r="K96" s="27"/>
    </row>
    <row r="97" spans="1:11" x14ac:dyDescent="0.25">
      <c r="A97"/>
      <c r="B97"/>
      <c r="C97"/>
      <c r="D97" t="s">
        <v>195</v>
      </c>
      <c r="E97"/>
      <c r="F97" t="s">
        <v>135</v>
      </c>
      <c r="G97" s="27"/>
      <c r="H97"/>
      <c r="I97"/>
    </row>
    <row r="98" spans="1:11" x14ac:dyDescent="0.25">
      <c r="A98"/>
      <c r="B98"/>
      <c r="C98"/>
      <c r="D98" t="s">
        <v>195</v>
      </c>
      <c r="E98"/>
      <c r="F98" t="s">
        <v>196</v>
      </c>
      <c r="G98" s="27"/>
      <c r="H98"/>
      <c r="I98"/>
    </row>
    <row r="99" spans="1:11" x14ac:dyDescent="0.25">
      <c r="A99"/>
      <c r="B99"/>
      <c r="C99"/>
      <c r="D99" t="s">
        <v>195</v>
      </c>
      <c r="E99"/>
      <c r="F99" t="s">
        <v>197</v>
      </c>
      <c r="G99" s="27"/>
      <c r="H99"/>
      <c r="I99"/>
    </row>
    <row r="100" spans="1:11" x14ac:dyDescent="0.25">
      <c r="A100"/>
      <c r="B100"/>
      <c r="C100"/>
      <c r="D100" t="s">
        <v>195</v>
      </c>
      <c r="E100"/>
      <c r="F100" t="s">
        <v>198</v>
      </c>
      <c r="G100" s="27"/>
      <c r="H100"/>
      <c r="I100"/>
    </row>
    <row r="101" spans="1:11" x14ac:dyDescent="0.25">
      <c r="A101"/>
      <c r="B101"/>
      <c r="C101"/>
      <c r="D101" t="s">
        <v>195</v>
      </c>
      <c r="E101"/>
      <c r="F101" t="s">
        <v>199</v>
      </c>
      <c r="G101" s="27"/>
      <c r="H101"/>
      <c r="I101"/>
    </row>
    <row r="102" spans="1:11" x14ac:dyDescent="0.25">
      <c r="A102"/>
      <c r="B102"/>
      <c r="C102"/>
      <c r="D102" t="s">
        <v>195</v>
      </c>
      <c r="E102"/>
      <c r="F102" t="s">
        <v>200</v>
      </c>
      <c r="G102" s="27"/>
      <c r="H102"/>
      <c r="I102"/>
    </row>
    <row r="103" spans="1:11" x14ac:dyDescent="0.25">
      <c r="A103" s="7"/>
      <c r="B103" s="7"/>
      <c r="C103" s="7"/>
      <c r="D103" s="7" t="s">
        <v>195</v>
      </c>
      <c r="E103" s="7"/>
      <c r="F103" s="7" t="s">
        <v>201</v>
      </c>
      <c r="G103" s="28"/>
      <c r="H103" s="7"/>
      <c r="I103" s="7"/>
    </row>
    <row r="104" spans="1:11" x14ac:dyDescent="0.25">
      <c r="A104" s="5"/>
      <c r="B104" s="5"/>
      <c r="C104" s="5"/>
      <c r="D104" s="5" t="s">
        <v>202</v>
      </c>
      <c r="E104" s="5"/>
      <c r="F104" s="5" t="s">
        <v>185</v>
      </c>
      <c r="G104" s="8"/>
      <c r="H104" s="29">
        <f>SUM(G104:G114)</f>
        <v>0</v>
      </c>
      <c r="I104" s="8" t="e">
        <f>(H104/$G$329)*100</f>
        <v>#DIV/0!</v>
      </c>
      <c r="J104" s="37"/>
      <c r="K104" s="27"/>
    </row>
    <row r="105" spans="1:11" x14ac:dyDescent="0.25">
      <c r="A105"/>
      <c r="B105"/>
      <c r="C105"/>
      <c r="D105" t="s">
        <v>202</v>
      </c>
      <c r="E105"/>
      <c r="F105" t="s">
        <v>135</v>
      </c>
      <c r="G105" s="27"/>
      <c r="H105"/>
      <c r="I105"/>
    </row>
    <row r="106" spans="1:11" x14ac:dyDescent="0.25">
      <c r="A106"/>
      <c r="B106"/>
      <c r="C106"/>
      <c r="D106" t="s">
        <v>202</v>
      </c>
      <c r="E106"/>
      <c r="F106" t="s">
        <v>203</v>
      </c>
      <c r="G106" s="27"/>
      <c r="H106"/>
      <c r="I106"/>
    </row>
    <row r="107" spans="1:11" x14ac:dyDescent="0.25">
      <c r="A107"/>
      <c r="B107"/>
      <c r="C107"/>
      <c r="D107" t="s">
        <v>202</v>
      </c>
      <c r="E107"/>
      <c r="F107" t="s">
        <v>204</v>
      </c>
      <c r="G107" s="27"/>
      <c r="H107"/>
      <c r="I107"/>
    </row>
    <row r="108" spans="1:11" x14ac:dyDescent="0.25">
      <c r="A108"/>
      <c r="B108"/>
      <c r="C108"/>
      <c r="D108" t="s">
        <v>202</v>
      </c>
      <c r="E108"/>
      <c r="F108" t="s">
        <v>205</v>
      </c>
      <c r="G108" s="27"/>
      <c r="H108"/>
      <c r="I108"/>
    </row>
    <row r="109" spans="1:11" x14ac:dyDescent="0.25">
      <c r="A109"/>
      <c r="B109"/>
      <c r="C109"/>
      <c r="D109" t="s">
        <v>202</v>
      </c>
      <c r="E109"/>
      <c r="F109" t="s">
        <v>206</v>
      </c>
      <c r="G109" s="27"/>
      <c r="H109"/>
      <c r="I109"/>
    </row>
    <row r="110" spans="1:11" x14ac:dyDescent="0.25">
      <c r="A110"/>
      <c r="B110"/>
      <c r="C110"/>
      <c r="D110" t="s">
        <v>202</v>
      </c>
      <c r="E110"/>
      <c r="F110" t="s">
        <v>207</v>
      </c>
      <c r="G110" s="27"/>
      <c r="H110"/>
      <c r="I110"/>
    </row>
    <row r="111" spans="1:11" x14ac:dyDescent="0.25">
      <c r="A111"/>
      <c r="B111"/>
      <c r="C111"/>
      <c r="D111" t="s">
        <v>202</v>
      </c>
      <c r="E111"/>
      <c r="F111" t="s">
        <v>208</v>
      </c>
      <c r="G111" s="27"/>
      <c r="H111"/>
      <c r="I111"/>
    </row>
    <row r="112" spans="1:11" x14ac:dyDescent="0.25">
      <c r="A112"/>
      <c r="B112"/>
      <c r="C112"/>
      <c r="D112" t="s">
        <v>202</v>
      </c>
      <c r="E112"/>
      <c r="F112" t="s">
        <v>209</v>
      </c>
      <c r="G112" s="27"/>
      <c r="H112"/>
      <c r="I112"/>
    </row>
    <row r="113" spans="1:11" x14ac:dyDescent="0.25">
      <c r="A113"/>
      <c r="B113"/>
      <c r="C113"/>
      <c r="D113" t="s">
        <v>202</v>
      </c>
      <c r="E113"/>
      <c r="F113" t="s">
        <v>210</v>
      </c>
      <c r="G113" s="27"/>
      <c r="H113"/>
      <c r="I113"/>
    </row>
    <row r="114" spans="1:11" x14ac:dyDescent="0.25">
      <c r="A114" s="7"/>
      <c r="B114" s="7"/>
      <c r="C114" s="7"/>
      <c r="D114" s="7" t="s">
        <v>202</v>
      </c>
      <c r="E114" s="7"/>
      <c r="F114" s="7" t="s">
        <v>211</v>
      </c>
      <c r="G114" s="28"/>
      <c r="H114" s="7"/>
      <c r="I114" s="7"/>
    </row>
    <row r="115" spans="1:11" x14ac:dyDescent="0.25">
      <c r="A115" s="5"/>
      <c r="B115" s="5"/>
      <c r="C115" s="5"/>
      <c r="D115" s="5" t="s">
        <v>212</v>
      </c>
      <c r="E115" s="5"/>
      <c r="F115" s="5" t="s">
        <v>185</v>
      </c>
      <c r="G115" s="8"/>
      <c r="H115" s="29">
        <f>SUM(G115:G124)</f>
        <v>0</v>
      </c>
      <c r="I115" s="8" t="e">
        <f>(H115/$G$329)*100</f>
        <v>#DIV/0!</v>
      </c>
      <c r="J115" s="37"/>
      <c r="K115" s="27"/>
    </row>
    <row r="116" spans="1:11" x14ac:dyDescent="0.25">
      <c r="A116"/>
      <c r="B116"/>
      <c r="C116"/>
      <c r="D116" t="s">
        <v>212</v>
      </c>
      <c r="E116"/>
      <c r="F116" t="s">
        <v>135</v>
      </c>
      <c r="G116" s="27"/>
      <c r="H116"/>
      <c r="I116"/>
    </row>
    <row r="117" spans="1:11" x14ac:dyDescent="0.25">
      <c r="A117"/>
      <c r="B117"/>
      <c r="C117"/>
      <c r="D117" t="s">
        <v>212</v>
      </c>
      <c r="E117"/>
      <c r="F117" t="s">
        <v>213</v>
      </c>
      <c r="G117" s="27"/>
      <c r="H117"/>
      <c r="I117"/>
    </row>
    <row r="118" spans="1:11" x14ac:dyDescent="0.25">
      <c r="A118"/>
      <c r="B118"/>
      <c r="C118"/>
      <c r="D118" t="s">
        <v>212</v>
      </c>
      <c r="E118"/>
      <c r="F118" t="s">
        <v>214</v>
      </c>
      <c r="G118" s="27"/>
      <c r="H118"/>
      <c r="I118"/>
    </row>
    <row r="119" spans="1:11" x14ac:dyDescent="0.25">
      <c r="A119"/>
      <c r="B119"/>
      <c r="C119"/>
      <c r="D119" t="s">
        <v>212</v>
      </c>
      <c r="E119"/>
      <c r="F119" t="s">
        <v>188</v>
      </c>
      <c r="G119" s="27"/>
      <c r="H119"/>
      <c r="I119"/>
    </row>
    <row r="120" spans="1:11" x14ac:dyDescent="0.25">
      <c r="A120"/>
      <c r="B120"/>
      <c r="C120"/>
      <c r="D120" t="s">
        <v>212</v>
      </c>
      <c r="E120"/>
      <c r="F120" t="s">
        <v>215</v>
      </c>
      <c r="G120" s="27"/>
      <c r="H120"/>
      <c r="I120"/>
    </row>
    <row r="121" spans="1:11" x14ac:dyDescent="0.25">
      <c r="A121"/>
      <c r="B121"/>
      <c r="C121"/>
      <c r="D121" t="s">
        <v>212</v>
      </c>
      <c r="E121"/>
      <c r="F121" t="s">
        <v>216</v>
      </c>
      <c r="G121" s="27"/>
      <c r="H121"/>
      <c r="I121"/>
    </row>
    <row r="122" spans="1:11" x14ac:dyDescent="0.25">
      <c r="A122"/>
      <c r="B122"/>
      <c r="C122"/>
      <c r="D122" t="s">
        <v>212</v>
      </c>
      <c r="E122"/>
      <c r="F122" t="s">
        <v>210</v>
      </c>
      <c r="G122" s="27"/>
      <c r="H122"/>
      <c r="I122"/>
    </row>
    <row r="123" spans="1:11" x14ac:dyDescent="0.25">
      <c r="A123"/>
      <c r="B123"/>
      <c r="C123"/>
      <c r="D123" t="s">
        <v>212</v>
      </c>
      <c r="E123"/>
      <c r="F123" t="s">
        <v>217</v>
      </c>
      <c r="G123" s="27"/>
      <c r="H123"/>
      <c r="I123"/>
    </row>
    <row r="124" spans="1:11" x14ac:dyDescent="0.25">
      <c r="A124" s="7"/>
      <c r="B124" s="7"/>
      <c r="C124" s="7"/>
      <c r="D124" s="7" t="s">
        <v>212</v>
      </c>
      <c r="E124" s="7"/>
      <c r="F124" s="7" t="s">
        <v>218</v>
      </c>
      <c r="G124" s="28"/>
      <c r="H124" s="7"/>
      <c r="I124" s="7"/>
    </row>
    <row r="125" spans="1:11" x14ac:dyDescent="0.25">
      <c r="A125" s="5"/>
      <c r="B125" s="5"/>
      <c r="C125" s="5"/>
      <c r="D125" s="5" t="s">
        <v>219</v>
      </c>
      <c r="E125" s="5"/>
      <c r="F125" s="5" t="s">
        <v>135</v>
      </c>
      <c r="G125" s="8"/>
      <c r="H125" s="29">
        <f>SUM(G125:G130)</f>
        <v>0</v>
      </c>
      <c r="I125" s="8" t="e">
        <f>(H125/$G$329)*100</f>
        <v>#DIV/0!</v>
      </c>
      <c r="J125" s="37"/>
      <c r="K125" s="27"/>
    </row>
    <row r="126" spans="1:11" x14ac:dyDescent="0.25">
      <c r="A126"/>
      <c r="B126"/>
      <c r="C126"/>
      <c r="D126" t="s">
        <v>219</v>
      </c>
      <c r="E126"/>
      <c r="F126" t="s">
        <v>220</v>
      </c>
      <c r="G126" s="27"/>
      <c r="H126"/>
      <c r="I126"/>
    </row>
    <row r="127" spans="1:11" x14ac:dyDescent="0.25">
      <c r="A127"/>
      <c r="B127"/>
      <c r="C127"/>
      <c r="D127" t="s">
        <v>219</v>
      </c>
      <c r="E127"/>
      <c r="F127" t="s">
        <v>221</v>
      </c>
      <c r="G127" s="27"/>
      <c r="H127"/>
      <c r="I127"/>
    </row>
    <row r="128" spans="1:11" x14ac:dyDescent="0.25">
      <c r="A128"/>
      <c r="B128"/>
      <c r="C128"/>
      <c r="D128" t="s">
        <v>219</v>
      </c>
      <c r="E128"/>
      <c r="F128" t="s">
        <v>222</v>
      </c>
      <c r="G128" s="27"/>
      <c r="H128"/>
      <c r="I128"/>
    </row>
    <row r="129" spans="1:9" x14ac:dyDescent="0.25">
      <c r="A129"/>
      <c r="B129"/>
      <c r="C129"/>
      <c r="D129" t="s">
        <v>219</v>
      </c>
      <c r="E129"/>
      <c r="F129" t="s">
        <v>223</v>
      </c>
      <c r="G129" s="27"/>
      <c r="H129"/>
      <c r="I129"/>
    </row>
    <row r="130" spans="1:9" x14ac:dyDescent="0.25">
      <c r="A130" s="7"/>
      <c r="B130" s="7"/>
      <c r="C130" s="7"/>
      <c r="D130" s="7" t="s">
        <v>219</v>
      </c>
      <c r="E130" s="7"/>
      <c r="F130" s="7" t="s">
        <v>224</v>
      </c>
      <c r="G130" s="28"/>
      <c r="H130" s="7"/>
      <c r="I130" s="7"/>
    </row>
    <row r="131" spans="1:9" x14ac:dyDescent="0.25">
      <c r="A131" s="5"/>
      <c r="B131" s="5"/>
      <c r="C131" s="5"/>
      <c r="D131" s="5" t="s">
        <v>225</v>
      </c>
      <c r="E131" s="5"/>
      <c r="F131" s="5" t="s">
        <v>185</v>
      </c>
      <c r="G131" s="5"/>
      <c r="H131" s="5"/>
      <c r="I131" s="5"/>
    </row>
    <row r="132" spans="1:9" x14ac:dyDescent="0.25">
      <c r="A132"/>
      <c r="B132"/>
      <c r="C132"/>
      <c r="D132" t="s">
        <v>225</v>
      </c>
      <c r="E132"/>
      <c r="F132" t="s">
        <v>135</v>
      </c>
      <c r="G132"/>
      <c r="H132"/>
      <c r="I132"/>
    </row>
    <row r="133" spans="1:9" x14ac:dyDescent="0.25">
      <c r="A133"/>
      <c r="B133"/>
      <c r="C133"/>
      <c r="D133" t="s">
        <v>225</v>
      </c>
      <c r="E133"/>
      <c r="F133" t="s">
        <v>226</v>
      </c>
      <c r="G133"/>
      <c r="H133"/>
      <c r="I133"/>
    </row>
    <row r="134" spans="1:9" x14ac:dyDescent="0.25">
      <c r="A134"/>
      <c r="B134"/>
      <c r="C134"/>
      <c r="D134" t="s">
        <v>225</v>
      </c>
      <c r="E134"/>
      <c r="F134" t="s">
        <v>205</v>
      </c>
      <c r="G134"/>
      <c r="H134"/>
      <c r="I134"/>
    </row>
    <row r="135" spans="1:9" x14ac:dyDescent="0.25">
      <c r="A135"/>
      <c r="B135"/>
      <c r="C135"/>
      <c r="D135" t="s">
        <v>225</v>
      </c>
      <c r="E135"/>
      <c r="F135" t="s">
        <v>204</v>
      </c>
      <c r="G135"/>
      <c r="H135"/>
      <c r="I135"/>
    </row>
    <row r="136" spans="1:9" x14ac:dyDescent="0.25">
      <c r="A136"/>
      <c r="B136"/>
      <c r="C136"/>
      <c r="D136" t="s">
        <v>225</v>
      </c>
      <c r="E136"/>
      <c r="F136" t="s">
        <v>206</v>
      </c>
      <c r="G136"/>
      <c r="H136"/>
      <c r="I136"/>
    </row>
    <row r="137" spans="1:9" x14ac:dyDescent="0.25">
      <c r="A137"/>
      <c r="B137"/>
      <c r="C137"/>
      <c r="D137" t="s">
        <v>225</v>
      </c>
      <c r="E137"/>
      <c r="F137" t="s">
        <v>207</v>
      </c>
      <c r="G137"/>
      <c r="H137"/>
      <c r="I137"/>
    </row>
    <row r="138" spans="1:9" x14ac:dyDescent="0.25">
      <c r="A138"/>
      <c r="B138"/>
      <c r="C138"/>
      <c r="D138" t="s">
        <v>225</v>
      </c>
      <c r="E138"/>
      <c r="F138" t="s">
        <v>208</v>
      </c>
      <c r="G138"/>
      <c r="H138"/>
      <c r="I138"/>
    </row>
    <row r="139" spans="1:9" x14ac:dyDescent="0.25">
      <c r="A139"/>
      <c r="B139"/>
      <c r="C139"/>
      <c r="D139" t="s">
        <v>225</v>
      </c>
      <c r="E139"/>
      <c r="F139" t="s">
        <v>210</v>
      </c>
      <c r="G139"/>
      <c r="H139"/>
      <c r="I139"/>
    </row>
    <row r="140" spans="1:9" x14ac:dyDescent="0.25">
      <c r="A140"/>
      <c r="B140"/>
      <c r="C140"/>
      <c r="D140" t="s">
        <v>225</v>
      </c>
      <c r="E140"/>
      <c r="F140" t="s">
        <v>227</v>
      </c>
      <c r="G140"/>
      <c r="H140"/>
      <c r="I140"/>
    </row>
    <row r="141" spans="1:9" x14ac:dyDescent="0.25">
      <c r="A141" s="7"/>
      <c r="B141" s="7"/>
      <c r="C141" s="7"/>
      <c r="D141" s="7" t="s">
        <v>225</v>
      </c>
      <c r="E141" s="7"/>
      <c r="F141" s="7" t="s">
        <v>211</v>
      </c>
      <c r="G141" s="7"/>
      <c r="H141" s="7"/>
      <c r="I141" s="7"/>
    </row>
    <row r="142" spans="1:9" x14ac:dyDescent="0.25">
      <c r="A142" s="5"/>
      <c r="B142" s="5"/>
      <c r="C142" s="5"/>
      <c r="D142" s="5" t="s">
        <v>228</v>
      </c>
      <c r="E142" s="5"/>
      <c r="F142" s="5" t="s">
        <v>135</v>
      </c>
      <c r="G142" s="5"/>
      <c r="H142" s="5"/>
      <c r="I142" s="5"/>
    </row>
    <row r="143" spans="1:9" x14ac:dyDescent="0.25">
      <c r="A143"/>
      <c r="B143"/>
      <c r="C143"/>
      <c r="D143" t="s">
        <v>228</v>
      </c>
      <c r="E143"/>
      <c r="F143" t="s">
        <v>229</v>
      </c>
      <c r="G143"/>
      <c r="H143"/>
      <c r="I143"/>
    </row>
    <row r="144" spans="1:9" x14ac:dyDescent="0.25">
      <c r="A144"/>
      <c r="B144"/>
      <c r="C144"/>
      <c r="D144" t="s">
        <v>228</v>
      </c>
      <c r="E144"/>
      <c r="F144" t="s">
        <v>198</v>
      </c>
      <c r="G144"/>
      <c r="H144"/>
      <c r="I144"/>
    </row>
    <row r="145" spans="1:11" x14ac:dyDescent="0.25">
      <c r="A145"/>
      <c r="B145"/>
      <c r="C145"/>
      <c r="D145" t="s">
        <v>228</v>
      </c>
      <c r="E145"/>
      <c r="F145" t="s">
        <v>188</v>
      </c>
      <c r="G145"/>
      <c r="H145"/>
      <c r="I145"/>
    </row>
    <row r="146" spans="1:11" x14ac:dyDescent="0.25">
      <c r="A146"/>
      <c r="B146"/>
      <c r="C146"/>
      <c r="D146" t="s">
        <v>228</v>
      </c>
      <c r="E146"/>
      <c r="F146" t="s">
        <v>230</v>
      </c>
      <c r="G146"/>
      <c r="H146"/>
      <c r="I146"/>
    </row>
    <row r="147" spans="1:11" x14ac:dyDescent="0.25">
      <c r="A147" s="7"/>
      <c r="B147" s="7"/>
      <c r="C147" s="7"/>
      <c r="D147" s="7" t="s">
        <v>228</v>
      </c>
      <c r="E147" s="7"/>
      <c r="F147" s="7" t="s">
        <v>231</v>
      </c>
      <c r="G147" s="7"/>
      <c r="H147" s="7"/>
      <c r="I147" s="7"/>
    </row>
    <row r="148" spans="1:11" x14ac:dyDescent="0.25">
      <c r="A148" s="5"/>
      <c r="B148" s="5"/>
      <c r="C148" s="5"/>
      <c r="D148" s="5" t="s">
        <v>232</v>
      </c>
      <c r="E148" s="5"/>
      <c r="F148" s="5" t="s">
        <v>135</v>
      </c>
      <c r="G148" s="8"/>
      <c r="H148" s="8">
        <f>SUM(G148:G151)</f>
        <v>0</v>
      </c>
      <c r="I148" s="8" t="e">
        <f>(H148/$G$329)*100</f>
        <v>#DIV/0!</v>
      </c>
      <c r="J148" s="27"/>
      <c r="K148" s="27"/>
    </row>
    <row r="149" spans="1:11" x14ac:dyDescent="0.25">
      <c r="A149"/>
      <c r="B149"/>
      <c r="C149"/>
      <c r="D149" t="s">
        <v>232</v>
      </c>
      <c r="E149"/>
      <c r="F149" t="s">
        <v>140</v>
      </c>
      <c r="G149" s="27"/>
      <c r="H149" s="27"/>
      <c r="I149"/>
      <c r="J149" s="27"/>
    </row>
    <row r="150" spans="1:11" x14ac:dyDescent="0.25">
      <c r="A150"/>
      <c r="B150"/>
      <c r="C150"/>
      <c r="D150" t="s">
        <v>232</v>
      </c>
      <c r="E150"/>
      <c r="F150" t="s">
        <v>233</v>
      </c>
      <c r="G150" s="27"/>
      <c r="H150" s="27"/>
      <c r="I150"/>
      <c r="J150" s="27"/>
    </row>
    <row r="151" spans="1:11" x14ac:dyDescent="0.25">
      <c r="A151" s="7"/>
      <c r="B151" s="7"/>
      <c r="C151" s="7"/>
      <c r="D151" s="7" t="s">
        <v>232</v>
      </c>
      <c r="E151" s="7"/>
      <c r="F151" s="7" t="s">
        <v>234</v>
      </c>
      <c r="G151" s="28"/>
      <c r="H151" s="28"/>
      <c r="I151" s="7"/>
      <c r="J151" s="27"/>
    </row>
    <row r="152" spans="1:11" x14ac:dyDescent="0.25">
      <c r="A152"/>
      <c r="B152"/>
      <c r="C152"/>
      <c r="D152" t="s">
        <v>235</v>
      </c>
      <c r="E152"/>
      <c r="F152" t="s">
        <v>236</v>
      </c>
      <c r="G152" s="2"/>
      <c r="H152" s="30">
        <f>SUM(G152:G212)</f>
        <v>0</v>
      </c>
      <c r="I152" s="8" t="e">
        <f>(H152/$G$329)*100</f>
        <v>#DIV/0!</v>
      </c>
      <c r="J152" s="37"/>
      <c r="K152" s="27"/>
    </row>
    <row r="153" spans="1:11" x14ac:dyDescent="0.25">
      <c r="A153"/>
      <c r="B153"/>
      <c r="C153"/>
      <c r="D153" t="s">
        <v>235</v>
      </c>
      <c r="E153"/>
      <c r="F153" t="s">
        <v>236</v>
      </c>
      <c r="G153" s="2"/>
      <c r="H153"/>
      <c r="I153"/>
    </row>
    <row r="154" spans="1:11" x14ac:dyDescent="0.25">
      <c r="A154"/>
      <c r="B154"/>
      <c r="C154"/>
      <c r="D154" t="s">
        <v>235</v>
      </c>
      <c r="E154"/>
      <c r="F154" t="s">
        <v>236</v>
      </c>
      <c r="G154" s="2"/>
      <c r="H154"/>
      <c r="I154"/>
    </row>
    <row r="155" spans="1:11" x14ac:dyDescent="0.25">
      <c r="A155"/>
      <c r="B155"/>
      <c r="C155"/>
      <c r="D155" t="s">
        <v>235</v>
      </c>
      <c r="E155"/>
      <c r="F155" s="7" t="s">
        <v>236</v>
      </c>
      <c r="G155" s="28"/>
      <c r="H155"/>
      <c r="I155"/>
    </row>
    <row r="156" spans="1:11" x14ac:dyDescent="0.25">
      <c r="A156"/>
      <c r="B156"/>
      <c r="C156"/>
      <c r="D156" t="s">
        <v>235</v>
      </c>
      <c r="E156"/>
      <c r="F156" t="s">
        <v>237</v>
      </c>
      <c r="G156" s="2"/>
      <c r="H156"/>
      <c r="I156"/>
    </row>
    <row r="157" spans="1:11" x14ac:dyDescent="0.25">
      <c r="A157"/>
      <c r="B157"/>
      <c r="C157"/>
      <c r="D157" t="s">
        <v>235</v>
      </c>
      <c r="E157"/>
      <c r="F157" t="s">
        <v>237</v>
      </c>
      <c r="G157" s="2"/>
      <c r="H157"/>
      <c r="I157"/>
    </row>
    <row r="158" spans="1:11" x14ac:dyDescent="0.25">
      <c r="A158"/>
      <c r="B158"/>
      <c r="C158"/>
      <c r="D158" t="s">
        <v>235</v>
      </c>
      <c r="E158"/>
      <c r="F158" t="s">
        <v>237</v>
      </c>
      <c r="G158" s="2"/>
      <c r="H158"/>
      <c r="I158"/>
    </row>
    <row r="159" spans="1:11" x14ac:dyDescent="0.25">
      <c r="A159"/>
      <c r="B159"/>
      <c r="C159"/>
      <c r="D159" t="s">
        <v>235</v>
      </c>
      <c r="E159"/>
      <c r="F159" t="s">
        <v>237</v>
      </c>
      <c r="G159" s="2"/>
      <c r="H159"/>
      <c r="I159"/>
    </row>
    <row r="160" spans="1:11" x14ac:dyDescent="0.25">
      <c r="A160"/>
      <c r="B160"/>
      <c r="C160"/>
      <c r="D160" t="s">
        <v>235</v>
      </c>
      <c r="E160"/>
      <c r="F160" t="s">
        <v>237</v>
      </c>
      <c r="G160" s="2"/>
      <c r="H160"/>
      <c r="I160"/>
    </row>
    <row r="161" spans="1:9" x14ac:dyDescent="0.25">
      <c r="A161"/>
      <c r="B161"/>
      <c r="C161"/>
      <c r="D161" t="s">
        <v>235</v>
      </c>
      <c r="E161"/>
      <c r="F161" t="s">
        <v>237</v>
      </c>
      <c r="G161" s="2"/>
      <c r="H161"/>
      <c r="I161"/>
    </row>
    <row r="162" spans="1:9" x14ac:dyDescent="0.25">
      <c r="A162"/>
      <c r="B162"/>
      <c r="C162"/>
      <c r="D162" t="s">
        <v>235</v>
      </c>
      <c r="E162"/>
      <c r="F162" t="s">
        <v>237</v>
      </c>
      <c r="G162" s="2"/>
      <c r="H162"/>
      <c r="I162"/>
    </row>
    <row r="163" spans="1:9" x14ac:dyDescent="0.25">
      <c r="A163"/>
      <c r="B163"/>
      <c r="C163"/>
      <c r="D163" t="s">
        <v>235</v>
      </c>
      <c r="E163"/>
      <c r="F163" s="7" t="s">
        <v>237</v>
      </c>
      <c r="G163" s="28"/>
      <c r="H163"/>
      <c r="I163"/>
    </row>
    <row r="164" spans="1:9" x14ac:dyDescent="0.25">
      <c r="A164"/>
      <c r="B164"/>
      <c r="C164"/>
      <c r="D164" t="s">
        <v>235</v>
      </c>
      <c r="E164"/>
      <c r="F164" t="s">
        <v>238</v>
      </c>
      <c r="G164" s="2"/>
      <c r="H164"/>
      <c r="I164"/>
    </row>
    <row r="165" spans="1:9" x14ac:dyDescent="0.25">
      <c r="A165"/>
      <c r="B165"/>
      <c r="C165"/>
      <c r="D165" t="s">
        <v>235</v>
      </c>
      <c r="E165"/>
      <c r="F165" t="s">
        <v>238</v>
      </c>
      <c r="G165" s="2"/>
      <c r="H165"/>
      <c r="I165"/>
    </row>
    <row r="166" spans="1:9" x14ac:dyDescent="0.25">
      <c r="A166"/>
      <c r="B166"/>
      <c r="C166"/>
      <c r="D166" t="s">
        <v>235</v>
      </c>
      <c r="E166"/>
      <c r="F166" t="s">
        <v>238</v>
      </c>
      <c r="G166" s="2"/>
      <c r="H166"/>
      <c r="I166"/>
    </row>
    <row r="167" spans="1:9" x14ac:dyDescent="0.25">
      <c r="A167"/>
      <c r="B167"/>
      <c r="C167"/>
      <c r="D167" t="s">
        <v>235</v>
      </c>
      <c r="E167"/>
      <c r="F167" t="s">
        <v>238</v>
      </c>
      <c r="G167" s="2"/>
      <c r="H167"/>
      <c r="I167"/>
    </row>
    <row r="168" spans="1:9" x14ac:dyDescent="0.25">
      <c r="A168"/>
      <c r="B168"/>
      <c r="C168"/>
      <c r="D168" t="s">
        <v>235</v>
      </c>
      <c r="E168"/>
      <c r="F168" t="s">
        <v>238</v>
      </c>
      <c r="G168" s="2"/>
      <c r="H168"/>
      <c r="I168"/>
    </row>
    <row r="169" spans="1:9" x14ac:dyDescent="0.25">
      <c r="A169"/>
      <c r="B169"/>
      <c r="C169"/>
      <c r="D169" t="s">
        <v>235</v>
      </c>
      <c r="E169"/>
      <c r="F169" t="s">
        <v>238</v>
      </c>
      <c r="G169" s="2"/>
      <c r="H169"/>
      <c r="I169"/>
    </row>
    <row r="170" spans="1:9" x14ac:dyDescent="0.25">
      <c r="A170"/>
      <c r="B170"/>
      <c r="C170"/>
      <c r="D170" t="s">
        <v>235</v>
      </c>
      <c r="E170"/>
      <c r="F170" t="s">
        <v>238</v>
      </c>
      <c r="G170" s="2"/>
      <c r="H170"/>
      <c r="I170"/>
    </row>
    <row r="171" spans="1:9" x14ac:dyDescent="0.25">
      <c r="A171"/>
      <c r="B171"/>
      <c r="C171"/>
      <c r="D171" t="s">
        <v>235</v>
      </c>
      <c r="E171"/>
      <c r="F171" t="s">
        <v>238</v>
      </c>
      <c r="G171" s="2"/>
      <c r="H171"/>
      <c r="I171"/>
    </row>
    <row r="172" spans="1:9" x14ac:dyDescent="0.25">
      <c r="A172"/>
      <c r="B172"/>
      <c r="C172"/>
      <c r="D172" t="s">
        <v>235</v>
      </c>
      <c r="E172"/>
      <c r="F172" t="s">
        <v>238</v>
      </c>
      <c r="G172" s="2"/>
      <c r="H172"/>
      <c r="I172"/>
    </row>
    <row r="173" spans="1:9" x14ac:dyDescent="0.25">
      <c r="A173"/>
      <c r="B173"/>
      <c r="C173"/>
      <c r="D173" t="s">
        <v>235</v>
      </c>
      <c r="E173"/>
      <c r="F173" t="s">
        <v>238</v>
      </c>
      <c r="G173" s="2"/>
      <c r="H173"/>
      <c r="I173"/>
    </row>
    <row r="174" spans="1:9" x14ac:dyDescent="0.25">
      <c r="A174"/>
      <c r="B174"/>
      <c r="C174"/>
      <c r="D174" t="s">
        <v>235</v>
      </c>
      <c r="E174"/>
      <c r="F174" t="s">
        <v>238</v>
      </c>
      <c r="G174" s="2"/>
      <c r="H174"/>
      <c r="I174"/>
    </row>
    <row r="175" spans="1:9" x14ac:dyDescent="0.25">
      <c r="A175"/>
      <c r="B175"/>
      <c r="C175"/>
      <c r="D175" t="s">
        <v>235</v>
      </c>
      <c r="E175"/>
      <c r="F175" t="s">
        <v>238</v>
      </c>
      <c r="G175" s="2"/>
      <c r="H175"/>
      <c r="I175"/>
    </row>
    <row r="176" spans="1:9" x14ac:dyDescent="0.25">
      <c r="A176"/>
      <c r="B176"/>
      <c r="C176"/>
      <c r="D176" t="s">
        <v>235</v>
      </c>
      <c r="E176"/>
      <c r="F176" t="s">
        <v>238</v>
      </c>
      <c r="G176" s="2"/>
      <c r="H176"/>
      <c r="I176"/>
    </row>
    <row r="177" spans="1:9" x14ac:dyDescent="0.25">
      <c r="A177"/>
      <c r="B177"/>
      <c r="C177"/>
      <c r="D177" t="s">
        <v>235</v>
      </c>
      <c r="E177"/>
      <c r="F177" t="s">
        <v>238</v>
      </c>
      <c r="G177" s="2"/>
      <c r="H177"/>
      <c r="I177"/>
    </row>
    <row r="178" spans="1:9" x14ac:dyDescent="0.25">
      <c r="A178"/>
      <c r="B178"/>
      <c r="C178"/>
      <c r="D178" t="s">
        <v>235</v>
      </c>
      <c r="E178"/>
      <c r="F178" t="s">
        <v>238</v>
      </c>
      <c r="G178" s="2"/>
      <c r="H178"/>
      <c r="I178"/>
    </row>
    <row r="179" spans="1:9" x14ac:dyDescent="0.25">
      <c r="A179"/>
      <c r="B179"/>
      <c r="C179"/>
      <c r="D179" t="s">
        <v>235</v>
      </c>
      <c r="E179"/>
      <c r="F179" t="s">
        <v>238</v>
      </c>
      <c r="G179" s="2"/>
      <c r="H179"/>
      <c r="I179"/>
    </row>
    <row r="180" spans="1:9" x14ac:dyDescent="0.25">
      <c r="A180"/>
      <c r="B180"/>
      <c r="C180"/>
      <c r="D180" t="s">
        <v>235</v>
      </c>
      <c r="E180"/>
      <c r="F180" t="s">
        <v>238</v>
      </c>
      <c r="G180" s="2"/>
      <c r="H180"/>
      <c r="I180"/>
    </row>
    <row r="181" spans="1:9" x14ac:dyDescent="0.25">
      <c r="A181"/>
      <c r="B181"/>
      <c r="C181"/>
      <c r="D181" t="s">
        <v>235</v>
      </c>
      <c r="E181"/>
      <c r="F181" t="s">
        <v>238</v>
      </c>
      <c r="G181" s="2"/>
      <c r="H181"/>
      <c r="I181"/>
    </row>
    <row r="182" spans="1:9" x14ac:dyDescent="0.25">
      <c r="A182"/>
      <c r="B182"/>
      <c r="C182"/>
      <c r="D182" t="s">
        <v>235</v>
      </c>
      <c r="E182"/>
      <c r="F182" t="s">
        <v>238</v>
      </c>
      <c r="G182" s="2"/>
      <c r="H182"/>
      <c r="I182"/>
    </row>
    <row r="183" spans="1:9" x14ac:dyDescent="0.25">
      <c r="A183"/>
      <c r="B183"/>
      <c r="C183"/>
      <c r="D183" t="s">
        <v>235</v>
      </c>
      <c r="E183"/>
      <c r="F183" t="s">
        <v>238</v>
      </c>
      <c r="G183" s="2"/>
      <c r="H183"/>
      <c r="I183"/>
    </row>
    <row r="184" spans="1:9" x14ac:dyDescent="0.25">
      <c r="A184"/>
      <c r="B184"/>
      <c r="C184"/>
      <c r="D184" t="s">
        <v>235</v>
      </c>
      <c r="E184"/>
      <c r="F184" t="s">
        <v>238</v>
      </c>
      <c r="G184" s="2"/>
      <c r="H184"/>
      <c r="I184"/>
    </row>
    <row r="185" spans="1:9" x14ac:dyDescent="0.25">
      <c r="A185"/>
      <c r="B185"/>
      <c r="C185"/>
      <c r="D185" t="s">
        <v>235</v>
      </c>
      <c r="E185"/>
      <c r="F185" t="s">
        <v>238</v>
      </c>
      <c r="G185" s="2"/>
      <c r="H185"/>
      <c r="I185"/>
    </row>
    <row r="186" spans="1:9" x14ac:dyDescent="0.25">
      <c r="A186"/>
      <c r="B186"/>
      <c r="C186"/>
      <c r="D186" t="s">
        <v>235</v>
      </c>
      <c r="E186"/>
      <c r="F186" t="s">
        <v>238</v>
      </c>
      <c r="G186" s="2"/>
      <c r="H186"/>
      <c r="I186"/>
    </row>
    <row r="187" spans="1:9" x14ac:dyDescent="0.25">
      <c r="A187"/>
      <c r="B187"/>
      <c r="C187"/>
      <c r="D187" t="s">
        <v>235</v>
      </c>
      <c r="E187"/>
      <c r="F187" t="s">
        <v>238</v>
      </c>
      <c r="G187" s="2"/>
      <c r="H187"/>
      <c r="I187"/>
    </row>
    <row r="188" spans="1:9" x14ac:dyDescent="0.25">
      <c r="A188"/>
      <c r="B188"/>
      <c r="C188"/>
      <c r="D188" t="s">
        <v>235</v>
      </c>
      <c r="E188"/>
      <c r="F188" t="s">
        <v>238</v>
      </c>
      <c r="G188" s="2"/>
      <c r="H188"/>
      <c r="I188"/>
    </row>
    <row r="189" spans="1:9" x14ac:dyDescent="0.25">
      <c r="A189"/>
      <c r="B189"/>
      <c r="C189"/>
      <c r="D189" t="s">
        <v>235</v>
      </c>
      <c r="E189"/>
      <c r="F189" s="7" t="s">
        <v>238</v>
      </c>
      <c r="G189" s="28"/>
      <c r="H189"/>
      <c r="I189"/>
    </row>
    <row r="190" spans="1:9" x14ac:dyDescent="0.25">
      <c r="A190"/>
      <c r="B190"/>
      <c r="C190"/>
      <c r="D190" t="s">
        <v>235</v>
      </c>
      <c r="E190"/>
      <c r="F190" s="5" t="s">
        <v>239</v>
      </c>
      <c r="G190" s="8"/>
      <c r="H190"/>
      <c r="I190"/>
    </row>
    <row r="191" spans="1:9" x14ac:dyDescent="0.25">
      <c r="A191"/>
      <c r="B191"/>
      <c r="C191"/>
      <c r="D191" t="s">
        <v>235</v>
      </c>
      <c r="E191"/>
      <c r="F191" t="s">
        <v>239</v>
      </c>
      <c r="G191" s="27"/>
      <c r="H191"/>
      <c r="I191"/>
    </row>
    <row r="192" spans="1:9" x14ac:dyDescent="0.25">
      <c r="A192"/>
      <c r="B192"/>
      <c r="C192"/>
      <c r="D192" t="s">
        <v>235</v>
      </c>
      <c r="E192"/>
      <c r="F192" t="s">
        <v>239</v>
      </c>
      <c r="G192" s="27"/>
      <c r="H192"/>
      <c r="I192"/>
    </row>
    <row r="193" spans="1:9" x14ac:dyDescent="0.25">
      <c r="A193"/>
      <c r="B193"/>
      <c r="C193"/>
      <c r="D193" t="s">
        <v>235</v>
      </c>
      <c r="E193"/>
      <c r="F193" t="s">
        <v>239</v>
      </c>
      <c r="G193" s="27"/>
      <c r="H193"/>
      <c r="I193"/>
    </row>
    <row r="194" spans="1:9" x14ac:dyDescent="0.25">
      <c r="A194"/>
      <c r="B194"/>
      <c r="C194"/>
      <c r="D194" t="s">
        <v>235</v>
      </c>
      <c r="E194"/>
      <c r="F194" t="s">
        <v>239</v>
      </c>
      <c r="G194" s="27"/>
      <c r="H194"/>
      <c r="I194"/>
    </row>
    <row r="195" spans="1:9" x14ac:dyDescent="0.25">
      <c r="A195"/>
      <c r="B195"/>
      <c r="C195"/>
      <c r="D195" t="s">
        <v>235</v>
      </c>
      <c r="E195"/>
      <c r="F195" t="s">
        <v>239</v>
      </c>
      <c r="G195" s="27"/>
      <c r="H195"/>
      <c r="I195"/>
    </row>
    <row r="196" spans="1:9" x14ac:dyDescent="0.25">
      <c r="A196"/>
      <c r="B196"/>
      <c r="C196"/>
      <c r="D196" t="s">
        <v>235</v>
      </c>
      <c r="E196"/>
      <c r="F196" t="s">
        <v>239</v>
      </c>
      <c r="G196" s="27"/>
      <c r="H196"/>
      <c r="I196"/>
    </row>
    <row r="197" spans="1:9" x14ac:dyDescent="0.25">
      <c r="A197"/>
      <c r="B197"/>
      <c r="C197"/>
      <c r="D197" t="s">
        <v>235</v>
      </c>
      <c r="E197"/>
      <c r="F197" t="s">
        <v>239</v>
      </c>
      <c r="G197" s="27"/>
      <c r="H197"/>
      <c r="I197"/>
    </row>
    <row r="198" spans="1:9" x14ac:dyDescent="0.25">
      <c r="A198"/>
      <c r="B198"/>
      <c r="C198"/>
      <c r="D198" t="s">
        <v>235</v>
      </c>
      <c r="E198"/>
      <c r="F198" t="s">
        <v>239</v>
      </c>
      <c r="G198" s="27"/>
      <c r="H198"/>
      <c r="I198"/>
    </row>
    <row r="199" spans="1:9" x14ac:dyDescent="0.25">
      <c r="A199"/>
      <c r="B199"/>
      <c r="C199"/>
      <c r="D199" t="s">
        <v>235</v>
      </c>
      <c r="E199"/>
      <c r="F199" t="s">
        <v>239</v>
      </c>
      <c r="G199" s="27"/>
      <c r="H199"/>
      <c r="I199"/>
    </row>
    <row r="200" spans="1:9" x14ac:dyDescent="0.25">
      <c r="A200"/>
      <c r="B200"/>
      <c r="C200"/>
      <c r="D200" t="s">
        <v>235</v>
      </c>
      <c r="E200"/>
      <c r="F200" t="s">
        <v>239</v>
      </c>
      <c r="G200" s="27"/>
      <c r="H200"/>
      <c r="I200"/>
    </row>
    <row r="201" spans="1:9" x14ac:dyDescent="0.25">
      <c r="A201"/>
      <c r="B201"/>
      <c r="C201"/>
      <c r="D201" t="s">
        <v>235</v>
      </c>
      <c r="E201"/>
      <c r="F201" s="7" t="s">
        <v>239</v>
      </c>
      <c r="G201" s="28"/>
      <c r="H201"/>
      <c r="I201"/>
    </row>
    <row r="202" spans="1:9" x14ac:dyDescent="0.25">
      <c r="A202"/>
      <c r="B202"/>
      <c r="C202"/>
      <c r="D202" t="s">
        <v>235</v>
      </c>
      <c r="E202"/>
      <c r="F202" s="5" t="s">
        <v>240</v>
      </c>
      <c r="G202" s="8"/>
      <c r="H202"/>
      <c r="I202"/>
    </row>
    <row r="203" spans="1:9" x14ac:dyDescent="0.25">
      <c r="A203"/>
      <c r="B203"/>
      <c r="C203"/>
      <c r="D203" t="s">
        <v>235</v>
      </c>
      <c r="E203"/>
      <c r="F203" t="s">
        <v>240</v>
      </c>
      <c r="G203" s="27"/>
      <c r="H203"/>
      <c r="I203"/>
    </row>
    <row r="204" spans="1:9" x14ac:dyDescent="0.25">
      <c r="A204"/>
      <c r="B204"/>
      <c r="C204"/>
      <c r="D204" t="s">
        <v>235</v>
      </c>
      <c r="E204"/>
      <c r="F204" t="s">
        <v>240</v>
      </c>
      <c r="G204" s="27"/>
      <c r="H204"/>
      <c r="I204"/>
    </row>
    <row r="205" spans="1:9" x14ac:dyDescent="0.25">
      <c r="A205"/>
      <c r="B205"/>
      <c r="C205"/>
      <c r="D205" t="s">
        <v>235</v>
      </c>
      <c r="E205"/>
      <c r="F205" t="s">
        <v>240</v>
      </c>
      <c r="G205" s="27"/>
      <c r="H205"/>
      <c r="I205"/>
    </row>
    <row r="206" spans="1:9" x14ac:dyDescent="0.25">
      <c r="A206"/>
      <c r="B206"/>
      <c r="C206"/>
      <c r="D206" t="s">
        <v>235</v>
      </c>
      <c r="E206"/>
      <c r="F206" t="s">
        <v>240</v>
      </c>
      <c r="G206" s="27"/>
      <c r="H206"/>
      <c r="I206"/>
    </row>
    <row r="207" spans="1:9" x14ac:dyDescent="0.25">
      <c r="A207"/>
      <c r="B207"/>
      <c r="C207"/>
      <c r="D207" t="s">
        <v>235</v>
      </c>
      <c r="E207"/>
      <c r="F207" t="s">
        <v>240</v>
      </c>
      <c r="G207" s="27"/>
      <c r="H207"/>
      <c r="I207"/>
    </row>
    <row r="208" spans="1:9" x14ac:dyDescent="0.25">
      <c r="A208"/>
      <c r="B208"/>
      <c r="C208"/>
      <c r="D208" t="s">
        <v>235</v>
      </c>
      <c r="E208"/>
      <c r="F208" s="7" t="s">
        <v>240</v>
      </c>
      <c r="G208" s="28"/>
      <c r="H208"/>
      <c r="I208"/>
    </row>
    <row r="209" spans="1:11" x14ac:dyDescent="0.25">
      <c r="A209"/>
      <c r="B209"/>
      <c r="C209"/>
      <c r="D209" t="s">
        <v>235</v>
      </c>
      <c r="E209"/>
      <c r="F209" s="5" t="s">
        <v>241</v>
      </c>
      <c r="G209" s="8"/>
      <c r="H209"/>
      <c r="I209"/>
    </row>
    <row r="210" spans="1:11" x14ac:dyDescent="0.25">
      <c r="A210"/>
      <c r="B210"/>
      <c r="C210"/>
      <c r="D210" t="s">
        <v>235</v>
      </c>
      <c r="E210"/>
      <c r="F210" t="s">
        <v>241</v>
      </c>
      <c r="G210" s="27"/>
      <c r="H210"/>
      <c r="I210"/>
    </row>
    <row r="211" spans="1:11" x14ac:dyDescent="0.25">
      <c r="A211"/>
      <c r="B211"/>
      <c r="C211"/>
      <c r="D211" t="s">
        <v>235</v>
      </c>
      <c r="E211"/>
      <c r="F211" t="s">
        <v>241</v>
      </c>
      <c r="G211" s="27"/>
      <c r="H211"/>
      <c r="I211"/>
    </row>
    <row r="212" spans="1:11" x14ac:dyDescent="0.25">
      <c r="A212" s="7"/>
      <c r="B212" s="7"/>
      <c r="C212" s="7"/>
      <c r="D212" s="7" t="s">
        <v>235</v>
      </c>
      <c r="E212" s="7"/>
      <c r="F212" s="7" t="s">
        <v>241</v>
      </c>
      <c r="G212" s="28"/>
      <c r="H212" s="7"/>
      <c r="I212" s="7"/>
    </row>
    <row r="213" spans="1:11" x14ac:dyDescent="0.25">
      <c r="A213"/>
      <c r="B213"/>
      <c r="C213"/>
      <c r="D213" t="s">
        <v>242</v>
      </c>
      <c r="E213"/>
      <c r="F213" t="s">
        <v>236</v>
      </c>
      <c r="G213" s="2"/>
      <c r="H213" s="2">
        <f>SUM(G213:G251)</f>
        <v>0</v>
      </c>
      <c r="I213" s="8" t="e">
        <f>(H213/$G$329)*100</f>
        <v>#DIV/0!</v>
      </c>
      <c r="J213" s="27"/>
      <c r="K213" s="27"/>
    </row>
    <row r="214" spans="1:11" x14ac:dyDescent="0.25">
      <c r="A214"/>
      <c r="B214"/>
      <c r="C214"/>
      <c r="D214" t="s">
        <v>242</v>
      </c>
      <c r="E214"/>
      <c r="F214" t="s">
        <v>236</v>
      </c>
      <c r="G214" s="2"/>
      <c r="H214"/>
      <c r="I214"/>
    </row>
    <row r="215" spans="1:11" x14ac:dyDescent="0.25">
      <c r="A215"/>
      <c r="B215"/>
      <c r="C215"/>
      <c r="D215" t="s">
        <v>242</v>
      </c>
      <c r="E215"/>
      <c r="F215" t="s">
        <v>236</v>
      </c>
      <c r="G215" s="2"/>
      <c r="H215"/>
      <c r="I215"/>
    </row>
    <row r="216" spans="1:11" x14ac:dyDescent="0.25">
      <c r="A216"/>
      <c r="B216"/>
      <c r="C216"/>
      <c r="D216" t="s">
        <v>242</v>
      </c>
      <c r="E216"/>
      <c r="F216" s="7" t="s">
        <v>236</v>
      </c>
      <c r="G216" s="28"/>
      <c r="H216"/>
      <c r="I216"/>
    </row>
    <row r="217" spans="1:11" x14ac:dyDescent="0.25">
      <c r="A217"/>
      <c r="B217"/>
      <c r="C217"/>
      <c r="D217" t="s">
        <v>242</v>
      </c>
      <c r="E217"/>
      <c r="F217" t="s">
        <v>237</v>
      </c>
      <c r="G217" s="2"/>
      <c r="H217"/>
      <c r="I217"/>
    </row>
    <row r="218" spans="1:11" x14ac:dyDescent="0.25">
      <c r="A218"/>
      <c r="B218"/>
      <c r="C218"/>
      <c r="D218" t="s">
        <v>242</v>
      </c>
      <c r="E218"/>
      <c r="F218" t="s">
        <v>237</v>
      </c>
      <c r="G218" s="2"/>
      <c r="H218"/>
      <c r="I218"/>
    </row>
    <row r="219" spans="1:11" x14ac:dyDescent="0.25">
      <c r="A219"/>
      <c r="B219"/>
      <c r="C219"/>
      <c r="D219" t="s">
        <v>242</v>
      </c>
      <c r="E219"/>
      <c r="F219" t="s">
        <v>237</v>
      </c>
      <c r="G219" s="2"/>
      <c r="H219"/>
      <c r="I219"/>
    </row>
    <row r="220" spans="1:11" x14ac:dyDescent="0.25">
      <c r="A220"/>
      <c r="B220"/>
      <c r="C220"/>
      <c r="D220" t="s">
        <v>242</v>
      </c>
      <c r="E220"/>
      <c r="F220" t="s">
        <v>237</v>
      </c>
      <c r="G220" s="2"/>
      <c r="H220"/>
      <c r="I220"/>
    </row>
    <row r="221" spans="1:11" x14ac:dyDescent="0.25">
      <c r="A221"/>
      <c r="B221"/>
      <c r="C221"/>
      <c r="D221" t="s">
        <v>242</v>
      </c>
      <c r="E221"/>
      <c r="F221" t="s">
        <v>237</v>
      </c>
      <c r="G221" s="2"/>
      <c r="H221"/>
      <c r="I221"/>
    </row>
    <row r="222" spans="1:11" x14ac:dyDescent="0.25">
      <c r="A222"/>
      <c r="B222"/>
      <c r="C222"/>
      <c r="D222" t="s">
        <v>242</v>
      </c>
      <c r="E222"/>
      <c r="F222" t="s">
        <v>237</v>
      </c>
      <c r="G222" s="2"/>
      <c r="H222"/>
      <c r="I222"/>
    </row>
    <row r="223" spans="1:11" x14ac:dyDescent="0.25">
      <c r="A223"/>
      <c r="B223"/>
      <c r="C223"/>
      <c r="D223" t="s">
        <v>242</v>
      </c>
      <c r="E223"/>
      <c r="F223" t="s">
        <v>237</v>
      </c>
      <c r="G223" s="2"/>
      <c r="H223"/>
      <c r="I223"/>
    </row>
    <row r="224" spans="1:11" x14ac:dyDescent="0.25">
      <c r="A224"/>
      <c r="B224"/>
      <c r="C224"/>
      <c r="D224" t="s">
        <v>242</v>
      </c>
      <c r="E224"/>
      <c r="F224" t="s">
        <v>237</v>
      </c>
      <c r="G224" s="2"/>
      <c r="H224"/>
      <c r="I224"/>
    </row>
    <row r="225" spans="1:9" x14ac:dyDescent="0.25">
      <c r="A225"/>
      <c r="B225"/>
      <c r="C225"/>
      <c r="D225" t="s">
        <v>242</v>
      </c>
      <c r="E225"/>
      <c r="F225" t="s">
        <v>237</v>
      </c>
      <c r="G225" s="2"/>
      <c r="H225"/>
      <c r="I225"/>
    </row>
    <row r="226" spans="1:9" x14ac:dyDescent="0.25">
      <c r="A226"/>
      <c r="B226"/>
      <c r="C226"/>
      <c r="D226" t="s">
        <v>242</v>
      </c>
      <c r="E226"/>
      <c r="F226" t="s">
        <v>237</v>
      </c>
      <c r="G226" s="2"/>
      <c r="H226"/>
      <c r="I226"/>
    </row>
    <row r="227" spans="1:9" x14ac:dyDescent="0.25">
      <c r="A227"/>
      <c r="B227"/>
      <c r="C227"/>
      <c r="D227" t="s">
        <v>242</v>
      </c>
      <c r="E227"/>
      <c r="F227" t="s">
        <v>237</v>
      </c>
      <c r="G227" s="2"/>
      <c r="H227"/>
      <c r="I227"/>
    </row>
    <row r="228" spans="1:9" x14ac:dyDescent="0.25">
      <c r="A228"/>
      <c r="B228"/>
      <c r="C228"/>
      <c r="D228" t="s">
        <v>242</v>
      </c>
      <c r="E228"/>
      <c r="F228" t="s">
        <v>237</v>
      </c>
      <c r="G228" s="2"/>
      <c r="H228"/>
      <c r="I228"/>
    </row>
    <row r="229" spans="1:9" x14ac:dyDescent="0.25">
      <c r="A229"/>
      <c r="B229"/>
      <c r="C229"/>
      <c r="D229" t="s">
        <v>242</v>
      </c>
      <c r="E229"/>
      <c r="F229" t="s">
        <v>237</v>
      </c>
      <c r="G229" s="2"/>
      <c r="H229"/>
      <c r="I229"/>
    </row>
    <row r="230" spans="1:9" x14ac:dyDescent="0.25">
      <c r="A230"/>
      <c r="B230"/>
      <c r="C230"/>
      <c r="D230" t="s">
        <v>242</v>
      </c>
      <c r="E230"/>
      <c r="F230" t="s">
        <v>237</v>
      </c>
      <c r="G230" s="2"/>
      <c r="H230"/>
      <c r="I230"/>
    </row>
    <row r="231" spans="1:9" x14ac:dyDescent="0.25">
      <c r="A231"/>
      <c r="B231"/>
      <c r="C231"/>
      <c r="D231" t="s">
        <v>242</v>
      </c>
      <c r="E231"/>
      <c r="F231" t="s">
        <v>237</v>
      </c>
      <c r="G231" s="2"/>
      <c r="H231"/>
      <c r="I231"/>
    </row>
    <row r="232" spans="1:9" x14ac:dyDescent="0.25">
      <c r="A232"/>
      <c r="B232"/>
      <c r="C232"/>
      <c r="D232" t="s">
        <v>242</v>
      </c>
      <c r="E232"/>
      <c r="F232" t="s">
        <v>237</v>
      </c>
      <c r="G232" s="2"/>
      <c r="H232"/>
      <c r="I232"/>
    </row>
    <row r="233" spans="1:9" x14ac:dyDescent="0.25">
      <c r="A233"/>
      <c r="B233"/>
      <c r="C233"/>
      <c r="D233" t="s">
        <v>242</v>
      </c>
      <c r="E233"/>
      <c r="F233" t="s">
        <v>237</v>
      </c>
      <c r="G233" s="2"/>
      <c r="H233"/>
      <c r="I233"/>
    </row>
    <row r="234" spans="1:9" x14ac:dyDescent="0.25">
      <c r="A234"/>
      <c r="B234"/>
      <c r="C234"/>
      <c r="D234" t="s">
        <v>242</v>
      </c>
      <c r="E234"/>
      <c r="F234" t="s">
        <v>237</v>
      </c>
      <c r="G234" s="2"/>
      <c r="H234"/>
      <c r="I234"/>
    </row>
    <row r="235" spans="1:9" x14ac:dyDescent="0.25">
      <c r="A235"/>
      <c r="B235"/>
      <c r="C235"/>
      <c r="D235" t="s">
        <v>242</v>
      </c>
      <c r="E235"/>
      <c r="F235" t="s">
        <v>237</v>
      </c>
      <c r="G235" s="2"/>
      <c r="H235"/>
      <c r="I235"/>
    </row>
    <row r="236" spans="1:9" x14ac:dyDescent="0.25">
      <c r="A236"/>
      <c r="B236"/>
      <c r="C236"/>
      <c r="D236" t="s">
        <v>242</v>
      </c>
      <c r="E236"/>
      <c r="F236" t="s">
        <v>237</v>
      </c>
      <c r="G236" s="2"/>
      <c r="H236"/>
      <c r="I236"/>
    </row>
    <row r="237" spans="1:9" x14ac:dyDescent="0.25">
      <c r="A237"/>
      <c r="B237"/>
      <c r="C237"/>
      <c r="D237" t="s">
        <v>242</v>
      </c>
      <c r="E237"/>
      <c r="F237" t="s">
        <v>237</v>
      </c>
      <c r="G237" s="2"/>
      <c r="H237"/>
      <c r="I237"/>
    </row>
    <row r="238" spans="1:9" x14ac:dyDescent="0.25">
      <c r="A238"/>
      <c r="B238"/>
      <c r="C238"/>
      <c r="D238" t="s">
        <v>242</v>
      </c>
      <c r="E238"/>
      <c r="F238" t="s">
        <v>237</v>
      </c>
      <c r="G238" s="2"/>
      <c r="H238"/>
      <c r="I238"/>
    </row>
    <row r="239" spans="1:9" x14ac:dyDescent="0.25">
      <c r="A239"/>
      <c r="B239"/>
      <c r="C239"/>
      <c r="D239" t="s">
        <v>242</v>
      </c>
      <c r="E239"/>
      <c r="F239" t="s">
        <v>237</v>
      </c>
      <c r="G239" s="2"/>
      <c r="H239"/>
      <c r="I239"/>
    </row>
    <row r="240" spans="1:9" x14ac:dyDescent="0.25">
      <c r="A240"/>
      <c r="B240"/>
      <c r="C240"/>
      <c r="D240" t="s">
        <v>242</v>
      </c>
      <c r="E240"/>
      <c r="F240" t="s">
        <v>237</v>
      </c>
      <c r="G240" s="2"/>
      <c r="H240"/>
      <c r="I240"/>
    </row>
    <row r="241" spans="1:11" x14ac:dyDescent="0.25">
      <c r="A241"/>
      <c r="B241"/>
      <c r="C241"/>
      <c r="D241" t="s">
        <v>242</v>
      </c>
      <c r="E241"/>
      <c r="F241" t="s">
        <v>237</v>
      </c>
      <c r="G241" s="2"/>
      <c r="H241"/>
      <c r="I241"/>
    </row>
    <row r="242" spans="1:11" x14ac:dyDescent="0.25">
      <c r="A242"/>
      <c r="B242"/>
      <c r="C242"/>
      <c r="D242" t="s">
        <v>242</v>
      </c>
      <c r="E242"/>
      <c r="F242" t="s">
        <v>237</v>
      </c>
      <c r="G242" s="2"/>
      <c r="H242"/>
      <c r="I242"/>
    </row>
    <row r="243" spans="1:11" x14ac:dyDescent="0.25">
      <c r="A243"/>
      <c r="B243"/>
      <c r="C243"/>
      <c r="D243" t="s">
        <v>242</v>
      </c>
      <c r="E243"/>
      <c r="F243" s="7" t="s">
        <v>237</v>
      </c>
      <c r="G243" s="28"/>
      <c r="H243"/>
      <c r="I243"/>
    </row>
    <row r="244" spans="1:11" x14ac:dyDescent="0.25">
      <c r="A244"/>
      <c r="B244"/>
      <c r="C244"/>
      <c r="D244" t="s">
        <v>242</v>
      </c>
      <c r="E244"/>
      <c r="F244" t="s">
        <v>240</v>
      </c>
      <c r="G244" s="2"/>
      <c r="H244"/>
      <c r="I244"/>
    </row>
    <row r="245" spans="1:11" x14ac:dyDescent="0.25">
      <c r="A245"/>
      <c r="B245"/>
      <c r="C245"/>
      <c r="D245" t="s">
        <v>242</v>
      </c>
      <c r="E245"/>
      <c r="F245" t="s">
        <v>240</v>
      </c>
      <c r="G245" s="2"/>
      <c r="H245"/>
      <c r="I245"/>
    </row>
    <row r="246" spans="1:11" x14ac:dyDescent="0.25">
      <c r="A246"/>
      <c r="B246"/>
      <c r="C246"/>
      <c r="D246" t="s">
        <v>242</v>
      </c>
      <c r="E246"/>
      <c r="F246" t="s">
        <v>240</v>
      </c>
      <c r="G246" s="2"/>
      <c r="H246"/>
      <c r="I246"/>
    </row>
    <row r="247" spans="1:11" x14ac:dyDescent="0.25">
      <c r="A247"/>
      <c r="B247"/>
      <c r="C247"/>
      <c r="D247" t="s">
        <v>242</v>
      </c>
      <c r="E247"/>
      <c r="F247" t="s">
        <v>240</v>
      </c>
      <c r="G247" s="2"/>
      <c r="H247"/>
      <c r="I247"/>
    </row>
    <row r="248" spans="1:11" x14ac:dyDescent="0.25">
      <c r="A248"/>
      <c r="B248"/>
      <c r="C248"/>
      <c r="D248" t="s">
        <v>242</v>
      </c>
      <c r="E248"/>
      <c r="F248" t="s">
        <v>240</v>
      </c>
      <c r="G248" s="2"/>
      <c r="H248"/>
      <c r="I248"/>
    </row>
    <row r="249" spans="1:11" x14ac:dyDescent="0.25">
      <c r="A249"/>
      <c r="B249"/>
      <c r="C249"/>
      <c r="D249" t="s">
        <v>242</v>
      </c>
      <c r="E249"/>
      <c r="F249" t="s">
        <v>240</v>
      </c>
      <c r="G249" s="2"/>
      <c r="H249"/>
      <c r="I249"/>
    </row>
    <row r="250" spans="1:11" x14ac:dyDescent="0.25">
      <c r="A250"/>
      <c r="B250"/>
      <c r="C250"/>
      <c r="D250" t="s">
        <v>242</v>
      </c>
      <c r="E250"/>
      <c r="F250" t="s">
        <v>240</v>
      </c>
      <c r="G250" s="2"/>
      <c r="H250"/>
      <c r="I250"/>
    </row>
    <row r="251" spans="1:11" x14ac:dyDescent="0.25">
      <c r="A251" s="7"/>
      <c r="B251" s="7"/>
      <c r="C251" s="7"/>
      <c r="D251" s="7" t="s">
        <v>242</v>
      </c>
      <c r="E251" s="7"/>
      <c r="F251" s="7" t="s">
        <v>240</v>
      </c>
      <c r="G251" s="28"/>
      <c r="H251" s="7"/>
      <c r="I251" s="7"/>
    </row>
    <row r="252" spans="1:11" x14ac:dyDescent="0.25">
      <c r="A252" s="5"/>
      <c r="B252" s="5"/>
      <c r="C252" s="5"/>
      <c r="D252" s="5" t="s">
        <v>243</v>
      </c>
      <c r="E252" s="5"/>
      <c r="F252" s="5" t="s">
        <v>244</v>
      </c>
      <c r="G252" s="8"/>
      <c r="H252" s="29">
        <f>SUM(G252:G281)</f>
        <v>0</v>
      </c>
      <c r="I252" s="8" t="e">
        <f>(H252/$G$329)*100</f>
        <v>#DIV/0!</v>
      </c>
      <c r="J252" s="37"/>
      <c r="K252" s="27"/>
    </row>
    <row r="253" spans="1:11" x14ac:dyDescent="0.25">
      <c r="A253"/>
      <c r="B253"/>
      <c r="C253"/>
      <c r="D253" t="s">
        <v>243</v>
      </c>
      <c r="E253"/>
      <c r="F253" t="s">
        <v>245</v>
      </c>
      <c r="G253" s="27"/>
      <c r="H253"/>
      <c r="I253"/>
    </row>
    <row r="254" spans="1:11" x14ac:dyDescent="0.25">
      <c r="A254"/>
      <c r="B254"/>
      <c r="C254"/>
      <c r="D254" t="s">
        <v>243</v>
      </c>
      <c r="E254"/>
      <c r="F254" t="s">
        <v>246</v>
      </c>
      <c r="G254" s="27"/>
      <c r="H254"/>
      <c r="I254"/>
    </row>
    <row r="255" spans="1:11" x14ac:dyDescent="0.25">
      <c r="A255"/>
      <c r="B255"/>
      <c r="C255"/>
      <c r="D255" t="s">
        <v>243</v>
      </c>
      <c r="E255"/>
      <c r="F255" t="s">
        <v>247</v>
      </c>
      <c r="G255" s="27"/>
      <c r="H255"/>
      <c r="I255"/>
    </row>
    <row r="256" spans="1:11" x14ac:dyDescent="0.25">
      <c r="A256"/>
      <c r="B256"/>
      <c r="C256"/>
      <c r="D256" t="s">
        <v>243</v>
      </c>
      <c r="E256"/>
      <c r="F256" t="s">
        <v>248</v>
      </c>
      <c r="G256" s="27"/>
      <c r="H256"/>
      <c r="I256"/>
    </row>
    <row r="257" spans="1:9" x14ac:dyDescent="0.25">
      <c r="A257"/>
      <c r="B257"/>
      <c r="C257"/>
      <c r="D257" t="s">
        <v>243</v>
      </c>
      <c r="E257"/>
      <c r="F257" t="s">
        <v>249</v>
      </c>
      <c r="G257" s="27"/>
      <c r="H257"/>
      <c r="I257"/>
    </row>
    <row r="258" spans="1:9" x14ac:dyDescent="0.25">
      <c r="A258"/>
      <c r="B258"/>
      <c r="C258"/>
      <c r="D258" t="s">
        <v>243</v>
      </c>
      <c r="E258"/>
      <c r="F258" t="s">
        <v>250</v>
      </c>
      <c r="G258" s="27"/>
      <c r="H258"/>
      <c r="I258"/>
    </row>
    <row r="259" spans="1:9" x14ac:dyDescent="0.25">
      <c r="A259"/>
      <c r="B259"/>
      <c r="C259"/>
      <c r="D259" t="s">
        <v>243</v>
      </c>
      <c r="E259"/>
      <c r="F259" t="s">
        <v>251</v>
      </c>
      <c r="G259" s="27"/>
      <c r="H259"/>
      <c r="I259"/>
    </row>
    <row r="260" spans="1:9" x14ac:dyDescent="0.25">
      <c r="A260"/>
      <c r="B260"/>
      <c r="C260"/>
      <c r="D260" t="s">
        <v>243</v>
      </c>
      <c r="E260"/>
      <c r="F260" t="s">
        <v>252</v>
      </c>
      <c r="G260" s="27"/>
      <c r="H260"/>
      <c r="I260"/>
    </row>
    <row r="261" spans="1:9" x14ac:dyDescent="0.25">
      <c r="A261"/>
      <c r="B261"/>
      <c r="C261"/>
      <c r="D261" t="s">
        <v>243</v>
      </c>
      <c r="E261"/>
      <c r="F261" t="s">
        <v>253</v>
      </c>
      <c r="G261" s="27"/>
      <c r="H261"/>
      <c r="I261"/>
    </row>
    <row r="262" spans="1:9" x14ac:dyDescent="0.25">
      <c r="A262"/>
      <c r="B262"/>
      <c r="C262"/>
      <c r="D262" t="s">
        <v>243</v>
      </c>
      <c r="E262"/>
      <c r="F262" t="s">
        <v>254</v>
      </c>
      <c r="G262" s="27"/>
      <c r="H262"/>
      <c r="I262"/>
    </row>
    <row r="263" spans="1:9" x14ac:dyDescent="0.25">
      <c r="A263"/>
      <c r="B263"/>
      <c r="C263"/>
      <c r="D263" t="s">
        <v>243</v>
      </c>
      <c r="E263"/>
      <c r="F263" t="s">
        <v>255</v>
      </c>
      <c r="G263" s="27"/>
      <c r="H263"/>
      <c r="I263"/>
    </row>
    <row r="264" spans="1:9" x14ac:dyDescent="0.25">
      <c r="A264"/>
      <c r="B264"/>
      <c r="C264"/>
      <c r="D264" t="s">
        <v>243</v>
      </c>
      <c r="E264"/>
      <c r="F264" t="s">
        <v>256</v>
      </c>
      <c r="G264" s="27"/>
      <c r="H264"/>
      <c r="I264"/>
    </row>
    <row r="265" spans="1:9" x14ac:dyDescent="0.25">
      <c r="A265"/>
      <c r="B265"/>
      <c r="C265"/>
      <c r="D265" t="s">
        <v>243</v>
      </c>
      <c r="E265"/>
      <c r="F265" t="s">
        <v>257</v>
      </c>
      <c r="G265" s="27"/>
      <c r="H265"/>
      <c r="I265"/>
    </row>
    <row r="266" spans="1:9" x14ac:dyDescent="0.25">
      <c r="A266"/>
      <c r="B266"/>
      <c r="C266"/>
      <c r="D266" t="s">
        <v>243</v>
      </c>
      <c r="E266"/>
      <c r="F266" t="s">
        <v>258</v>
      </c>
      <c r="G266" s="27"/>
      <c r="H266"/>
      <c r="I266"/>
    </row>
    <row r="267" spans="1:9" x14ac:dyDescent="0.25">
      <c r="A267"/>
      <c r="B267"/>
      <c r="C267"/>
      <c r="D267" t="s">
        <v>243</v>
      </c>
      <c r="E267"/>
      <c r="F267" t="s">
        <v>259</v>
      </c>
      <c r="G267" s="27"/>
      <c r="H267"/>
      <c r="I267"/>
    </row>
    <row r="268" spans="1:9" x14ac:dyDescent="0.25">
      <c r="A268"/>
      <c r="B268"/>
      <c r="C268"/>
      <c r="D268" t="s">
        <v>243</v>
      </c>
      <c r="E268"/>
      <c r="F268" t="s">
        <v>260</v>
      </c>
      <c r="G268" s="27"/>
      <c r="H268"/>
      <c r="I268"/>
    </row>
    <row r="269" spans="1:9" x14ac:dyDescent="0.25">
      <c r="A269"/>
      <c r="B269"/>
      <c r="C269"/>
      <c r="D269" t="s">
        <v>243</v>
      </c>
      <c r="E269"/>
      <c r="F269" t="s">
        <v>261</v>
      </c>
      <c r="G269" s="27"/>
      <c r="H269"/>
      <c r="I269"/>
    </row>
    <row r="270" spans="1:9" x14ac:dyDescent="0.25">
      <c r="A270"/>
      <c r="B270"/>
      <c r="C270"/>
      <c r="D270" t="s">
        <v>243</v>
      </c>
      <c r="E270"/>
      <c r="F270" t="s">
        <v>262</v>
      </c>
      <c r="G270" s="27"/>
      <c r="H270"/>
      <c r="I270"/>
    </row>
    <row r="271" spans="1:9" x14ac:dyDescent="0.25">
      <c r="A271"/>
      <c r="B271"/>
      <c r="C271"/>
      <c r="D271" t="s">
        <v>243</v>
      </c>
      <c r="E271"/>
      <c r="F271" t="s">
        <v>263</v>
      </c>
      <c r="G271" s="27"/>
      <c r="H271"/>
      <c r="I271"/>
    </row>
    <row r="272" spans="1:9" x14ac:dyDescent="0.25">
      <c r="A272"/>
      <c r="B272"/>
      <c r="C272"/>
      <c r="D272" t="s">
        <v>243</v>
      </c>
      <c r="E272"/>
      <c r="F272" t="s">
        <v>264</v>
      </c>
      <c r="G272" s="27"/>
      <c r="H272"/>
      <c r="I272"/>
    </row>
    <row r="273" spans="1:11" x14ac:dyDescent="0.25">
      <c r="A273"/>
      <c r="B273"/>
      <c r="C273"/>
      <c r="D273" t="s">
        <v>243</v>
      </c>
      <c r="E273"/>
      <c r="F273" t="s">
        <v>265</v>
      </c>
      <c r="G273" s="27"/>
      <c r="H273"/>
      <c r="I273"/>
    </row>
    <row r="274" spans="1:11" x14ac:dyDescent="0.25">
      <c r="A274"/>
      <c r="B274"/>
      <c r="C274"/>
      <c r="D274" t="s">
        <v>243</v>
      </c>
      <c r="E274"/>
      <c r="F274" t="s">
        <v>266</v>
      </c>
      <c r="G274" s="27"/>
      <c r="H274"/>
      <c r="I274"/>
    </row>
    <row r="275" spans="1:11" x14ac:dyDescent="0.25">
      <c r="A275"/>
      <c r="B275"/>
      <c r="C275"/>
      <c r="D275" t="s">
        <v>243</v>
      </c>
      <c r="E275"/>
      <c r="F275" t="s">
        <v>267</v>
      </c>
      <c r="G275" s="27"/>
      <c r="H275"/>
      <c r="I275"/>
    </row>
    <row r="276" spans="1:11" x14ac:dyDescent="0.25">
      <c r="A276"/>
      <c r="B276"/>
      <c r="C276"/>
      <c r="D276" t="s">
        <v>243</v>
      </c>
      <c r="E276"/>
      <c r="F276" t="s">
        <v>268</v>
      </c>
      <c r="G276" s="27"/>
      <c r="H276"/>
      <c r="I276"/>
    </row>
    <row r="277" spans="1:11" x14ac:dyDescent="0.25">
      <c r="A277"/>
      <c r="B277"/>
      <c r="C277"/>
      <c r="D277" t="s">
        <v>243</v>
      </c>
      <c r="E277"/>
      <c r="F277" t="s">
        <v>269</v>
      </c>
      <c r="G277" s="27"/>
      <c r="H277"/>
      <c r="I277"/>
    </row>
    <row r="278" spans="1:11" x14ac:dyDescent="0.25">
      <c r="A278"/>
      <c r="B278"/>
      <c r="C278"/>
      <c r="D278" t="s">
        <v>243</v>
      </c>
      <c r="E278"/>
      <c r="F278" t="s">
        <v>270</v>
      </c>
      <c r="G278" s="27"/>
      <c r="H278"/>
      <c r="I278"/>
    </row>
    <row r="279" spans="1:11" x14ac:dyDescent="0.25">
      <c r="A279"/>
      <c r="B279"/>
      <c r="C279"/>
      <c r="D279" t="s">
        <v>243</v>
      </c>
      <c r="E279"/>
      <c r="F279" t="s">
        <v>271</v>
      </c>
      <c r="G279" s="27"/>
      <c r="H279"/>
      <c r="I279"/>
    </row>
    <row r="280" spans="1:11" x14ac:dyDescent="0.25">
      <c r="A280"/>
      <c r="B280"/>
      <c r="C280"/>
      <c r="D280" t="s">
        <v>243</v>
      </c>
      <c r="E280"/>
      <c r="F280" t="s">
        <v>272</v>
      </c>
      <c r="G280" s="27"/>
      <c r="H280"/>
      <c r="I280"/>
    </row>
    <row r="281" spans="1:11" x14ac:dyDescent="0.25">
      <c r="A281" s="7"/>
      <c r="B281" s="7"/>
      <c r="C281" s="7"/>
      <c r="D281" s="7" t="s">
        <v>243</v>
      </c>
      <c r="E281" s="7"/>
      <c r="F281" s="7" t="s">
        <v>273</v>
      </c>
      <c r="G281" s="28"/>
      <c r="H281" s="7"/>
      <c r="I281" s="7"/>
    </row>
    <row r="282" spans="1:11" x14ac:dyDescent="0.25">
      <c r="A282"/>
      <c r="B282"/>
      <c r="C282"/>
      <c r="D282" t="s">
        <v>274</v>
      </c>
      <c r="E282"/>
      <c r="F282" t="s">
        <v>275</v>
      </c>
      <c r="G282" s="2"/>
      <c r="H282" s="30">
        <f>SUM(G282:G328)</f>
        <v>0</v>
      </c>
      <c r="I282" s="8" t="e">
        <f>(H282/$G$329)*100</f>
        <v>#DIV/0!</v>
      </c>
      <c r="J282" s="37"/>
      <c r="K282" s="27"/>
    </row>
    <row r="283" spans="1:11" x14ac:dyDescent="0.25">
      <c r="A283"/>
      <c r="B283"/>
      <c r="C283"/>
      <c r="D283" t="s">
        <v>274</v>
      </c>
      <c r="E283"/>
      <c r="F283" t="s">
        <v>275</v>
      </c>
      <c r="G283" s="2"/>
      <c r="H283"/>
      <c r="I283"/>
    </row>
    <row r="284" spans="1:11" x14ac:dyDescent="0.25">
      <c r="A284"/>
      <c r="B284"/>
      <c r="C284"/>
      <c r="D284" t="s">
        <v>274</v>
      </c>
      <c r="E284"/>
      <c r="F284" t="s">
        <v>244</v>
      </c>
      <c r="G284" s="2"/>
      <c r="H284"/>
      <c r="I284"/>
    </row>
    <row r="285" spans="1:11" x14ac:dyDescent="0.25">
      <c r="A285"/>
      <c r="B285"/>
      <c r="C285"/>
      <c r="D285" t="s">
        <v>274</v>
      </c>
      <c r="E285"/>
      <c r="F285" t="s">
        <v>245</v>
      </c>
      <c r="G285" s="2"/>
      <c r="H285"/>
      <c r="I285"/>
    </row>
    <row r="286" spans="1:11" x14ac:dyDescent="0.25">
      <c r="A286"/>
      <c r="B286"/>
      <c r="C286"/>
      <c r="D286" t="s">
        <v>274</v>
      </c>
      <c r="E286"/>
      <c r="F286" t="s">
        <v>246</v>
      </c>
      <c r="G286" s="2"/>
      <c r="H286"/>
      <c r="I286"/>
    </row>
    <row r="287" spans="1:11" x14ac:dyDescent="0.25">
      <c r="A287"/>
      <c r="B287"/>
      <c r="C287"/>
      <c r="D287" t="s">
        <v>274</v>
      </c>
      <c r="E287"/>
      <c r="F287" t="s">
        <v>276</v>
      </c>
      <c r="G287" s="2"/>
      <c r="H287"/>
      <c r="I287"/>
    </row>
    <row r="288" spans="1:11" x14ac:dyDescent="0.25">
      <c r="A288"/>
      <c r="B288"/>
      <c r="C288"/>
      <c r="D288" t="s">
        <v>274</v>
      </c>
      <c r="E288"/>
      <c r="F288" t="s">
        <v>248</v>
      </c>
      <c r="G288" s="2"/>
      <c r="H288"/>
      <c r="I288"/>
    </row>
    <row r="289" spans="1:9" x14ac:dyDescent="0.25">
      <c r="A289"/>
      <c r="B289"/>
      <c r="C289"/>
      <c r="D289" t="s">
        <v>274</v>
      </c>
      <c r="E289"/>
      <c r="F289" t="s">
        <v>277</v>
      </c>
      <c r="G289" s="2"/>
      <c r="H289"/>
      <c r="I289"/>
    </row>
    <row r="290" spans="1:9" x14ac:dyDescent="0.25">
      <c r="A290"/>
      <c r="B290"/>
      <c r="C290"/>
      <c r="D290" t="s">
        <v>274</v>
      </c>
      <c r="E290"/>
      <c r="F290" t="s">
        <v>277</v>
      </c>
      <c r="G290" s="2"/>
      <c r="H290"/>
      <c r="I290"/>
    </row>
    <row r="291" spans="1:9" x14ac:dyDescent="0.25">
      <c r="A291"/>
      <c r="B291"/>
      <c r="C291"/>
      <c r="D291" t="s">
        <v>274</v>
      </c>
      <c r="E291"/>
      <c r="F291" t="s">
        <v>277</v>
      </c>
      <c r="G291" s="2"/>
      <c r="H291"/>
      <c r="I291"/>
    </row>
    <row r="292" spans="1:9" x14ac:dyDescent="0.25">
      <c r="A292"/>
      <c r="B292"/>
      <c r="C292"/>
      <c r="D292" t="s">
        <v>274</v>
      </c>
      <c r="E292"/>
      <c r="F292" t="s">
        <v>278</v>
      </c>
      <c r="G292" s="2"/>
      <c r="H292"/>
      <c r="I292"/>
    </row>
    <row r="293" spans="1:9" x14ac:dyDescent="0.25">
      <c r="A293"/>
      <c r="B293"/>
      <c r="C293"/>
      <c r="D293" t="s">
        <v>274</v>
      </c>
      <c r="E293"/>
      <c r="F293" t="s">
        <v>278</v>
      </c>
      <c r="G293" s="2"/>
      <c r="H293"/>
      <c r="I293"/>
    </row>
    <row r="294" spans="1:9" x14ac:dyDescent="0.25">
      <c r="A294"/>
      <c r="B294"/>
      <c r="C294"/>
      <c r="D294" t="s">
        <v>274</v>
      </c>
      <c r="E294"/>
      <c r="F294" t="s">
        <v>278</v>
      </c>
      <c r="G294" s="2"/>
      <c r="H294"/>
      <c r="I294"/>
    </row>
    <row r="295" spans="1:9" x14ac:dyDescent="0.25">
      <c r="A295"/>
      <c r="B295"/>
      <c r="C295"/>
      <c r="D295" t="s">
        <v>274</v>
      </c>
      <c r="E295"/>
      <c r="F295" t="s">
        <v>279</v>
      </c>
      <c r="G295" s="2"/>
      <c r="H295"/>
      <c r="I295"/>
    </row>
    <row r="296" spans="1:9" x14ac:dyDescent="0.25">
      <c r="A296"/>
      <c r="B296"/>
      <c r="C296"/>
      <c r="D296" t="s">
        <v>274</v>
      </c>
      <c r="E296"/>
      <c r="F296" t="s">
        <v>256</v>
      </c>
      <c r="G296" s="2"/>
      <c r="H296"/>
      <c r="I296"/>
    </row>
    <row r="297" spans="1:9" x14ac:dyDescent="0.25">
      <c r="A297"/>
      <c r="B297"/>
      <c r="C297"/>
      <c r="D297" t="s">
        <v>274</v>
      </c>
      <c r="E297"/>
      <c r="F297" t="s">
        <v>280</v>
      </c>
      <c r="G297" s="2"/>
      <c r="H297"/>
      <c r="I297"/>
    </row>
    <row r="298" spans="1:9" x14ac:dyDescent="0.25">
      <c r="A298"/>
      <c r="B298"/>
      <c r="C298"/>
      <c r="D298" t="s">
        <v>274</v>
      </c>
      <c r="E298"/>
      <c r="F298" t="s">
        <v>281</v>
      </c>
      <c r="G298" s="2"/>
      <c r="H298"/>
      <c r="I298"/>
    </row>
    <row r="299" spans="1:9" x14ac:dyDescent="0.25">
      <c r="A299"/>
      <c r="B299"/>
      <c r="C299"/>
      <c r="D299" t="s">
        <v>274</v>
      </c>
      <c r="E299"/>
      <c r="F299" t="s">
        <v>282</v>
      </c>
      <c r="G299" s="2"/>
      <c r="H299"/>
      <c r="I299"/>
    </row>
    <row r="300" spans="1:9" x14ac:dyDescent="0.25">
      <c r="A300"/>
      <c r="B300"/>
      <c r="C300"/>
      <c r="D300" t="s">
        <v>274</v>
      </c>
      <c r="E300"/>
      <c r="F300" t="s">
        <v>282</v>
      </c>
      <c r="G300" s="2"/>
      <c r="H300"/>
      <c r="I300"/>
    </row>
    <row r="301" spans="1:9" x14ac:dyDescent="0.25">
      <c r="A301"/>
      <c r="B301"/>
      <c r="C301"/>
      <c r="D301" t="s">
        <v>274</v>
      </c>
      <c r="E301"/>
      <c r="F301" t="s">
        <v>282</v>
      </c>
      <c r="G301" s="2"/>
      <c r="H301"/>
      <c r="I301"/>
    </row>
    <row r="302" spans="1:9" x14ac:dyDescent="0.25">
      <c r="A302"/>
      <c r="B302"/>
      <c r="C302"/>
      <c r="D302" t="s">
        <v>274</v>
      </c>
      <c r="E302"/>
      <c r="F302" t="s">
        <v>282</v>
      </c>
      <c r="G302" s="2"/>
      <c r="H302"/>
      <c r="I302"/>
    </row>
    <row r="303" spans="1:9" x14ac:dyDescent="0.25">
      <c r="A303"/>
      <c r="B303"/>
      <c r="C303"/>
      <c r="D303" t="s">
        <v>274</v>
      </c>
      <c r="E303"/>
      <c r="F303" t="s">
        <v>283</v>
      </c>
      <c r="G303" s="2"/>
      <c r="H303"/>
      <c r="I303"/>
    </row>
    <row r="304" spans="1:9" x14ac:dyDescent="0.25">
      <c r="A304"/>
      <c r="B304"/>
      <c r="C304"/>
      <c r="D304" t="s">
        <v>274</v>
      </c>
      <c r="E304"/>
      <c r="F304" t="s">
        <v>283</v>
      </c>
      <c r="G304" s="2"/>
      <c r="H304"/>
      <c r="I304"/>
    </row>
    <row r="305" spans="1:9" x14ac:dyDescent="0.25">
      <c r="A305"/>
      <c r="B305"/>
      <c r="C305"/>
      <c r="D305" t="s">
        <v>274</v>
      </c>
      <c r="E305"/>
      <c r="F305" t="s">
        <v>283</v>
      </c>
      <c r="G305" s="2"/>
      <c r="H305"/>
      <c r="I305"/>
    </row>
    <row r="306" spans="1:9" x14ac:dyDescent="0.25">
      <c r="A306"/>
      <c r="B306"/>
      <c r="C306"/>
      <c r="D306" t="s">
        <v>274</v>
      </c>
      <c r="E306"/>
      <c r="F306" t="s">
        <v>283</v>
      </c>
      <c r="G306" s="2"/>
      <c r="H306"/>
      <c r="I306"/>
    </row>
    <row r="307" spans="1:9" x14ac:dyDescent="0.25">
      <c r="A307"/>
      <c r="B307"/>
      <c r="C307"/>
      <c r="D307" t="s">
        <v>274</v>
      </c>
      <c r="E307"/>
      <c r="F307" t="s">
        <v>284</v>
      </c>
      <c r="G307" s="2"/>
      <c r="H307"/>
      <c r="I307"/>
    </row>
    <row r="308" spans="1:9" x14ac:dyDescent="0.25">
      <c r="A308"/>
      <c r="B308"/>
      <c r="C308"/>
      <c r="D308" t="s">
        <v>274</v>
      </c>
      <c r="E308"/>
      <c r="F308" t="s">
        <v>284</v>
      </c>
      <c r="G308" s="2"/>
      <c r="H308"/>
      <c r="I308"/>
    </row>
    <row r="309" spans="1:9" x14ac:dyDescent="0.25">
      <c r="A309"/>
      <c r="B309"/>
      <c r="C309"/>
      <c r="D309" t="s">
        <v>274</v>
      </c>
      <c r="E309"/>
      <c r="F309" t="s">
        <v>284</v>
      </c>
      <c r="G309" s="2"/>
      <c r="H309"/>
      <c r="I309"/>
    </row>
    <row r="310" spans="1:9" x14ac:dyDescent="0.25">
      <c r="A310"/>
      <c r="B310"/>
      <c r="C310"/>
      <c r="D310" t="s">
        <v>274</v>
      </c>
      <c r="E310"/>
      <c r="F310" t="s">
        <v>284</v>
      </c>
      <c r="G310" s="2"/>
      <c r="H310"/>
      <c r="I310"/>
    </row>
    <row r="311" spans="1:9" x14ac:dyDescent="0.25">
      <c r="A311"/>
      <c r="B311"/>
      <c r="C311"/>
      <c r="D311" t="s">
        <v>274</v>
      </c>
      <c r="E311"/>
      <c r="F311" t="s">
        <v>285</v>
      </c>
      <c r="G311" s="2"/>
      <c r="H311"/>
      <c r="I311"/>
    </row>
    <row r="312" spans="1:9" x14ac:dyDescent="0.25">
      <c r="A312"/>
      <c r="B312"/>
      <c r="C312"/>
      <c r="D312" t="s">
        <v>274</v>
      </c>
      <c r="E312"/>
      <c r="F312" t="s">
        <v>285</v>
      </c>
      <c r="G312" s="2"/>
      <c r="H312"/>
      <c r="I312"/>
    </row>
    <row r="313" spans="1:9" x14ac:dyDescent="0.25">
      <c r="A313"/>
      <c r="B313"/>
      <c r="C313"/>
      <c r="D313" t="s">
        <v>274</v>
      </c>
      <c r="E313"/>
      <c r="F313" t="s">
        <v>285</v>
      </c>
      <c r="G313" s="2"/>
      <c r="H313"/>
      <c r="I313"/>
    </row>
    <row r="314" spans="1:9" x14ac:dyDescent="0.25">
      <c r="A314"/>
      <c r="B314"/>
      <c r="C314"/>
      <c r="D314" t="s">
        <v>274</v>
      </c>
      <c r="E314"/>
      <c r="F314" t="s">
        <v>285</v>
      </c>
      <c r="G314" s="2"/>
      <c r="H314"/>
      <c r="I314"/>
    </row>
    <row r="315" spans="1:9" x14ac:dyDescent="0.25">
      <c r="A315"/>
      <c r="B315"/>
      <c r="C315"/>
      <c r="D315" t="s">
        <v>274</v>
      </c>
      <c r="E315"/>
      <c r="F315" t="s">
        <v>286</v>
      </c>
      <c r="G315" s="2"/>
      <c r="H315"/>
      <c r="I315"/>
    </row>
    <row r="316" spans="1:9" x14ac:dyDescent="0.25">
      <c r="A316"/>
      <c r="B316"/>
      <c r="C316"/>
      <c r="D316" t="s">
        <v>274</v>
      </c>
      <c r="E316"/>
      <c r="F316" t="s">
        <v>286</v>
      </c>
      <c r="G316" s="2"/>
      <c r="H316"/>
      <c r="I316"/>
    </row>
    <row r="317" spans="1:9" x14ac:dyDescent="0.25">
      <c r="A317"/>
      <c r="B317"/>
      <c r="C317"/>
      <c r="D317" t="s">
        <v>274</v>
      </c>
      <c r="E317"/>
      <c r="F317" t="s">
        <v>286</v>
      </c>
      <c r="G317" s="2"/>
      <c r="H317"/>
      <c r="I317"/>
    </row>
    <row r="318" spans="1:9" x14ac:dyDescent="0.25">
      <c r="A318"/>
      <c r="B318"/>
      <c r="C318"/>
      <c r="D318" t="s">
        <v>274</v>
      </c>
      <c r="E318"/>
      <c r="F318" t="s">
        <v>286</v>
      </c>
      <c r="G318" s="2"/>
      <c r="H318"/>
      <c r="I318"/>
    </row>
    <row r="319" spans="1:9" x14ac:dyDescent="0.25">
      <c r="A319"/>
      <c r="B319"/>
      <c r="C319"/>
      <c r="D319" t="s">
        <v>274</v>
      </c>
      <c r="E319"/>
      <c r="F319" t="s">
        <v>287</v>
      </c>
      <c r="G319" s="2"/>
      <c r="H319"/>
      <c r="I319"/>
    </row>
    <row r="320" spans="1:9" x14ac:dyDescent="0.25">
      <c r="A320"/>
      <c r="B320"/>
      <c r="C320"/>
      <c r="D320" t="s">
        <v>274</v>
      </c>
      <c r="E320"/>
      <c r="F320" t="s">
        <v>287</v>
      </c>
      <c r="G320" s="2"/>
      <c r="H320"/>
      <c r="I320"/>
    </row>
    <row r="321" spans="1:12" x14ac:dyDescent="0.25">
      <c r="A321"/>
      <c r="B321"/>
      <c r="C321"/>
      <c r="D321" t="s">
        <v>274</v>
      </c>
      <c r="E321"/>
      <c r="F321" t="s">
        <v>287</v>
      </c>
      <c r="G321" s="2"/>
      <c r="H321"/>
      <c r="I321"/>
    </row>
    <row r="322" spans="1:12" x14ac:dyDescent="0.25">
      <c r="A322"/>
      <c r="B322"/>
      <c r="C322"/>
      <c r="D322" t="s">
        <v>274</v>
      </c>
      <c r="E322"/>
      <c r="F322" t="s">
        <v>287</v>
      </c>
      <c r="G322" s="2"/>
      <c r="H322"/>
      <c r="I322"/>
    </row>
    <row r="323" spans="1:12" x14ac:dyDescent="0.25">
      <c r="A323"/>
      <c r="B323"/>
      <c r="C323"/>
      <c r="D323" t="s">
        <v>274</v>
      </c>
      <c r="E323"/>
      <c r="F323" t="s">
        <v>288</v>
      </c>
      <c r="G323" s="2"/>
      <c r="H323"/>
      <c r="I323"/>
    </row>
    <row r="324" spans="1:12" x14ac:dyDescent="0.25">
      <c r="A324"/>
      <c r="B324"/>
      <c r="C324"/>
      <c r="D324" t="s">
        <v>274</v>
      </c>
      <c r="E324"/>
      <c r="F324" t="s">
        <v>288</v>
      </c>
      <c r="G324" s="2"/>
      <c r="H324"/>
      <c r="I324"/>
    </row>
    <row r="325" spans="1:12" x14ac:dyDescent="0.25">
      <c r="A325"/>
      <c r="B325"/>
      <c r="C325"/>
      <c r="D325" t="s">
        <v>274</v>
      </c>
      <c r="E325"/>
      <c r="F325" t="s">
        <v>288</v>
      </c>
      <c r="G325" s="2"/>
      <c r="H325"/>
      <c r="I325"/>
    </row>
    <row r="326" spans="1:12" x14ac:dyDescent="0.25">
      <c r="A326"/>
      <c r="B326"/>
      <c r="C326"/>
      <c r="D326" t="s">
        <v>274</v>
      </c>
      <c r="E326"/>
      <c r="F326" t="s">
        <v>289</v>
      </c>
      <c r="G326" s="2"/>
      <c r="H326"/>
      <c r="I326"/>
    </row>
    <row r="327" spans="1:12" x14ac:dyDescent="0.25">
      <c r="A327"/>
      <c r="B327"/>
      <c r="C327"/>
      <c r="D327" t="s">
        <v>274</v>
      </c>
      <c r="E327"/>
      <c r="F327" t="s">
        <v>289</v>
      </c>
      <c r="G327" s="2"/>
      <c r="H327"/>
      <c r="I327"/>
    </row>
    <row r="328" spans="1:12" x14ac:dyDescent="0.25">
      <c r="A328" s="7"/>
      <c r="B328" s="7"/>
      <c r="C328" s="7"/>
      <c r="D328" s="7" t="s">
        <v>274</v>
      </c>
      <c r="E328" s="7"/>
      <c r="F328" s="7" t="s">
        <v>289</v>
      </c>
      <c r="G328" s="28"/>
      <c r="H328" s="7"/>
      <c r="I328" s="7"/>
    </row>
    <row r="329" spans="1:12" x14ac:dyDescent="0.25">
      <c r="A329" s="5"/>
      <c r="B329" s="5"/>
      <c r="C329" s="5"/>
      <c r="D329" s="5"/>
      <c r="E329" s="5"/>
      <c r="F329" s="4" t="s">
        <v>129</v>
      </c>
      <c r="G329" s="9"/>
      <c r="H329" s="5"/>
      <c r="I329" s="5"/>
      <c r="L329" s="38"/>
    </row>
    <row r="330" spans="1:12" x14ac:dyDescent="0.25">
      <c r="A330"/>
      <c r="B330"/>
      <c r="C330"/>
      <c r="D330"/>
      <c r="E330"/>
      <c r="F330" s="1" t="s">
        <v>290</v>
      </c>
      <c r="G330" s="10"/>
      <c r="H330"/>
      <c r="I330"/>
      <c r="L330" s="38"/>
    </row>
    <row r="331" spans="1:12" x14ac:dyDescent="0.25">
      <c r="A331" s="7"/>
      <c r="B331" s="7"/>
      <c r="C331" s="7"/>
      <c r="D331" s="7"/>
      <c r="E331" s="7"/>
      <c r="F331" s="11" t="s">
        <v>291</v>
      </c>
      <c r="G331" s="12"/>
      <c r="H331" s="7"/>
      <c r="I331" s="7"/>
      <c r="L331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50"/>
  <sheetViews>
    <sheetView topLeftCell="A31" workbookViewId="0">
      <selection activeCell="D51" sqref="D51"/>
    </sheetView>
  </sheetViews>
  <sheetFormatPr defaultRowHeight="15" x14ac:dyDescent="0.25"/>
  <sheetData>
    <row r="1" spans="2:7" x14ac:dyDescent="0.25">
      <c r="B1" t="s">
        <v>7</v>
      </c>
      <c r="D1" t="s">
        <v>17</v>
      </c>
      <c r="G1" t="s">
        <v>61</v>
      </c>
    </row>
    <row r="2" spans="2:7" x14ac:dyDescent="0.25">
      <c r="B2" t="s">
        <v>8</v>
      </c>
      <c r="D2" t="s">
        <v>18</v>
      </c>
      <c r="G2" t="s">
        <v>62</v>
      </c>
    </row>
    <row r="3" spans="2:7" x14ac:dyDescent="0.25">
      <c r="B3" t="s">
        <v>9</v>
      </c>
      <c r="D3" t="s">
        <v>19</v>
      </c>
      <c r="G3" t="s">
        <v>67</v>
      </c>
    </row>
    <row r="4" spans="2:7" x14ac:dyDescent="0.25">
      <c r="B4" t="s">
        <v>10</v>
      </c>
      <c r="D4" t="s">
        <v>20</v>
      </c>
      <c r="G4" t="s">
        <v>81</v>
      </c>
    </row>
    <row r="5" spans="2:7" x14ac:dyDescent="0.25">
      <c r="B5" t="s">
        <v>11</v>
      </c>
      <c r="D5" t="s">
        <v>21</v>
      </c>
      <c r="G5" t="s">
        <v>82</v>
      </c>
    </row>
    <row r="6" spans="2:7" x14ac:dyDescent="0.25">
      <c r="B6" t="s">
        <v>12</v>
      </c>
      <c r="D6" t="s">
        <v>22</v>
      </c>
      <c r="G6" t="s">
        <v>69</v>
      </c>
    </row>
    <row r="7" spans="2:7" x14ac:dyDescent="0.25">
      <c r="B7" t="s">
        <v>13</v>
      </c>
      <c r="D7" t="s">
        <v>23</v>
      </c>
      <c r="G7" t="s">
        <v>70</v>
      </c>
    </row>
    <row r="8" spans="2:7" x14ac:dyDescent="0.25">
      <c r="B8" t="s">
        <v>14</v>
      </c>
      <c r="D8" t="s">
        <v>24</v>
      </c>
      <c r="G8" t="s">
        <v>71</v>
      </c>
    </row>
    <row r="9" spans="2:7" x14ac:dyDescent="0.25">
      <c r="B9" t="s">
        <v>15</v>
      </c>
      <c r="D9" t="s">
        <v>25</v>
      </c>
      <c r="G9" t="s">
        <v>72</v>
      </c>
    </row>
    <row r="10" spans="2:7" x14ac:dyDescent="0.25">
      <c r="B10" t="s">
        <v>16</v>
      </c>
      <c r="D10" t="s">
        <v>26</v>
      </c>
      <c r="G10" t="s">
        <v>73</v>
      </c>
    </row>
    <row r="11" spans="2:7" x14ac:dyDescent="0.25">
      <c r="D11" t="s">
        <v>27</v>
      </c>
      <c r="G11" t="s">
        <v>66</v>
      </c>
    </row>
    <row r="12" spans="2:7" x14ac:dyDescent="0.25">
      <c r="D12" t="s">
        <v>28</v>
      </c>
      <c r="G12" t="s">
        <v>63</v>
      </c>
    </row>
    <row r="13" spans="2:7" x14ac:dyDescent="0.25">
      <c r="D13" t="s">
        <v>29</v>
      </c>
      <c r="G13" t="s">
        <v>64</v>
      </c>
    </row>
    <row r="14" spans="2:7" x14ac:dyDescent="0.25">
      <c r="D14" t="s">
        <v>30</v>
      </c>
      <c r="G14" t="s">
        <v>65</v>
      </c>
    </row>
    <row r="15" spans="2:7" x14ac:dyDescent="0.25">
      <c r="D15" t="s">
        <v>31</v>
      </c>
      <c r="G15" t="s">
        <v>68</v>
      </c>
    </row>
    <row r="16" spans="2:7" x14ac:dyDescent="0.25">
      <c r="D16" t="s">
        <v>32</v>
      </c>
    </row>
    <row r="17" spans="4:4" x14ac:dyDescent="0.25">
      <c r="D17" t="s">
        <v>33</v>
      </c>
    </row>
    <row r="18" spans="4:4" x14ac:dyDescent="0.25">
      <c r="D18" t="s">
        <v>34</v>
      </c>
    </row>
    <row r="19" spans="4:4" x14ac:dyDescent="0.25">
      <c r="D19" t="s">
        <v>35</v>
      </c>
    </row>
    <row r="20" spans="4:4" x14ac:dyDescent="0.25">
      <c r="D20" t="s">
        <v>36</v>
      </c>
    </row>
    <row r="21" spans="4:4" x14ac:dyDescent="0.25">
      <c r="D21" t="s">
        <v>37</v>
      </c>
    </row>
    <row r="22" spans="4:4" x14ac:dyDescent="0.25">
      <c r="D22" t="s">
        <v>38</v>
      </c>
    </row>
    <row r="23" spans="4:4" x14ac:dyDescent="0.25">
      <c r="D23" t="s">
        <v>39</v>
      </c>
    </row>
    <row r="24" spans="4:4" x14ac:dyDescent="0.25">
      <c r="D24" t="s">
        <v>40</v>
      </c>
    </row>
    <row r="25" spans="4:4" x14ac:dyDescent="0.25">
      <c r="D25" t="s">
        <v>41</v>
      </c>
    </row>
    <row r="26" spans="4:4" x14ac:dyDescent="0.25">
      <c r="D26" t="s">
        <v>42</v>
      </c>
    </row>
    <row r="27" spans="4:4" x14ac:dyDescent="0.25">
      <c r="D27" t="s">
        <v>43</v>
      </c>
    </row>
    <row r="28" spans="4:4" x14ac:dyDescent="0.25">
      <c r="D28" t="s">
        <v>44</v>
      </c>
    </row>
    <row r="29" spans="4:4" x14ac:dyDescent="0.25">
      <c r="D29" t="s">
        <v>45</v>
      </c>
    </row>
    <row r="30" spans="4:4" x14ac:dyDescent="0.25">
      <c r="D30" t="s">
        <v>46</v>
      </c>
    </row>
    <row r="31" spans="4:4" x14ac:dyDescent="0.25">
      <c r="D31" t="s">
        <v>47</v>
      </c>
    </row>
    <row r="32" spans="4:4" x14ac:dyDescent="0.25">
      <c r="D32" t="s">
        <v>48</v>
      </c>
    </row>
    <row r="33" spans="4:4" x14ac:dyDescent="0.25">
      <c r="D33" t="s">
        <v>49</v>
      </c>
    </row>
    <row r="34" spans="4:4" x14ac:dyDescent="0.25">
      <c r="D34" t="s">
        <v>50</v>
      </c>
    </row>
    <row r="35" spans="4:4" x14ac:dyDescent="0.25">
      <c r="D35" t="s">
        <v>51</v>
      </c>
    </row>
    <row r="36" spans="4:4" x14ac:dyDescent="0.25">
      <c r="D36" t="s">
        <v>52</v>
      </c>
    </row>
    <row r="37" spans="4:4" x14ac:dyDescent="0.25">
      <c r="D37" t="s">
        <v>53</v>
      </c>
    </row>
    <row r="38" spans="4:4" x14ac:dyDescent="0.25">
      <c r="D38" t="s">
        <v>54</v>
      </c>
    </row>
    <row r="39" spans="4:4" x14ac:dyDescent="0.25">
      <c r="D39" t="s">
        <v>55</v>
      </c>
    </row>
    <row r="40" spans="4:4" x14ac:dyDescent="0.25">
      <c r="D40" t="s">
        <v>56</v>
      </c>
    </row>
    <row r="41" spans="4:4" x14ac:dyDescent="0.25">
      <c r="D41" t="s">
        <v>57</v>
      </c>
    </row>
    <row r="42" spans="4:4" x14ac:dyDescent="0.25">
      <c r="D42" t="s">
        <v>58</v>
      </c>
    </row>
    <row r="43" spans="4:4" x14ac:dyDescent="0.25">
      <c r="D43" t="s">
        <v>59</v>
      </c>
    </row>
    <row r="44" spans="4:4" x14ac:dyDescent="0.25">
      <c r="D44" t="s">
        <v>60</v>
      </c>
    </row>
    <row r="45" spans="4:4" x14ac:dyDescent="0.25">
      <c r="D45" t="s">
        <v>79</v>
      </c>
    </row>
    <row r="46" spans="4:4" x14ac:dyDescent="0.25">
      <c r="D46" t="s">
        <v>80</v>
      </c>
    </row>
    <row r="47" spans="4:4" x14ac:dyDescent="0.25">
      <c r="D47" t="s">
        <v>84</v>
      </c>
    </row>
    <row r="48" spans="4:4" x14ac:dyDescent="0.25">
      <c r="D48" t="s">
        <v>85</v>
      </c>
    </row>
    <row r="49" spans="4:4" x14ac:dyDescent="0.25">
      <c r="D49" t="s">
        <v>86</v>
      </c>
    </row>
    <row r="50" spans="4:4" x14ac:dyDescent="0.25">
      <c r="D50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unit_cost_data</vt:lpstr>
      <vt:lpstr>smc-linelisting</vt:lpstr>
      <vt:lpstr>itn-linelisting</vt:lpstr>
      <vt:lpstr>list-items-ignore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2025-02-21T22:36:34Z</dcterms:created>
  <dcterms:modified xsi:type="dcterms:W3CDTF">2025-06-12T20:13:50Z</dcterms:modified>
</cp:coreProperties>
</file>