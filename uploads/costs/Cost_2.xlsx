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hompson\Downloads\"/>
    </mc:Choice>
  </mc:AlternateContent>
  <xr:revisionPtr revIDLastSave="0" documentId="13_ncr:1_{681B52D7-BB94-4A00-BE0B-918ECA3F2A68}" xr6:coauthVersionLast="47" xr6:coauthVersionMax="47" xr10:uidLastSave="{00000000-0000-0000-0000-000000000000}"/>
  <bookViews>
    <workbookView xWindow="-120" yWindow="-120" windowWidth="51840" windowHeight="21240" xr2:uid="{E72D83C0-31FE-469B-BB4E-361133B71EB0}"/>
  </bookViews>
  <sheets>
    <sheet name="unit_cost_data" sheetId="1" r:id="rId1"/>
    <sheet name="smc-linelisting" sheetId="4" r:id="rId2"/>
    <sheet name="itn-linelisting" sheetId="3" r:id="rId3"/>
    <sheet name="list-items-ignor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1" i="3" l="1"/>
  <c r="L330" i="3"/>
  <c r="L329" i="3"/>
  <c r="I34" i="4"/>
  <c r="I33" i="4"/>
  <c r="I32" i="4"/>
  <c r="J282" i="3"/>
  <c r="J252" i="3"/>
  <c r="J213" i="3"/>
  <c r="J152" i="3"/>
  <c r="J148" i="3"/>
  <c r="J125" i="3"/>
  <c r="J115" i="3"/>
  <c r="J104" i="3"/>
  <c r="K104" i="3" s="1"/>
  <c r="J96" i="3"/>
  <c r="J84" i="3"/>
  <c r="J78" i="3"/>
  <c r="J70" i="3"/>
  <c r="J63" i="3"/>
  <c r="J55" i="3"/>
  <c r="J46" i="3"/>
  <c r="J36" i="3"/>
  <c r="J29" i="3"/>
  <c r="J21" i="3"/>
  <c r="J17" i="3"/>
  <c r="I16" i="3"/>
  <c r="I15" i="3"/>
  <c r="I14" i="3"/>
  <c r="I13" i="3"/>
  <c r="I12" i="3"/>
  <c r="I11" i="3"/>
  <c r="I10" i="3"/>
  <c r="I9" i="3"/>
  <c r="I8" i="3"/>
  <c r="I7" i="3"/>
  <c r="I5" i="3"/>
  <c r="I4" i="3"/>
  <c r="I329" i="3" s="1"/>
  <c r="I3" i="3"/>
  <c r="I2" i="3"/>
  <c r="J2" i="3" s="1"/>
  <c r="F32" i="4"/>
  <c r="F34" i="4" s="1"/>
  <c r="G21" i="4"/>
  <c r="H21" i="4" s="1"/>
  <c r="G17" i="4"/>
  <c r="H17" i="4" s="1"/>
  <c r="G11" i="4"/>
  <c r="H11" i="4" s="1"/>
  <c r="H7" i="4"/>
  <c r="G7" i="4"/>
  <c r="G2" i="4"/>
  <c r="H2" i="4" s="1"/>
  <c r="I331" i="3" l="1"/>
  <c r="K29" i="3"/>
  <c r="K282" i="3"/>
  <c r="K148" i="3"/>
  <c r="K96" i="3"/>
  <c r="K63" i="3"/>
  <c r="K252" i="3"/>
  <c r="K125" i="3"/>
  <c r="K84" i="3"/>
  <c r="K55" i="3"/>
  <c r="K36" i="3"/>
  <c r="K115" i="3"/>
  <c r="K70" i="3"/>
  <c r="K152" i="3"/>
  <c r="K17" i="3"/>
  <c r="K78" i="3"/>
  <c r="K213" i="3"/>
  <c r="K21" i="3"/>
  <c r="K2" i="3"/>
</calcChain>
</file>

<file path=xl/sharedStrings.xml><?xml version="1.0" encoding="utf-8"?>
<sst xmlns="http://schemas.openxmlformats.org/spreadsheetml/2006/main" count="1181" uniqueCount="468">
  <si>
    <t>unit</t>
  </si>
  <si>
    <t>usd_cost</t>
  </si>
  <si>
    <t>cost_year</t>
  </si>
  <si>
    <t>source</t>
  </si>
  <si>
    <t>code_intervention</t>
  </si>
  <si>
    <t>type_intervention</t>
  </si>
  <si>
    <t>cost_class</t>
  </si>
  <si>
    <t>cm_public</t>
  </si>
  <si>
    <t>cm_private</t>
  </si>
  <si>
    <t>iptp</t>
  </si>
  <si>
    <t>smc</t>
  </si>
  <si>
    <t>pmc</t>
  </si>
  <si>
    <t>vacc</t>
  </si>
  <si>
    <t>irs</t>
  </si>
  <si>
    <t>lsm</t>
  </si>
  <si>
    <t>itn_campaign</t>
  </si>
  <si>
    <t>itn_routine</t>
  </si>
  <si>
    <t>SP</t>
  </si>
  <si>
    <t>SP+AQ</t>
  </si>
  <si>
    <t xml:space="preserve">SP+AS </t>
  </si>
  <si>
    <t>AS+AQ</t>
  </si>
  <si>
    <t>DHAP</t>
  </si>
  <si>
    <t>RTSS</t>
  </si>
  <si>
    <t>R21</t>
  </si>
  <si>
    <t>2GARD</t>
  </si>
  <si>
    <t>Actellic 300CS</t>
  </si>
  <si>
    <t>Bistar 10WP</t>
  </si>
  <si>
    <t>FastM</t>
  </si>
  <si>
    <t>Fendona 10 SC</t>
  </si>
  <si>
    <t>Fendona 5 WP</t>
  </si>
  <si>
    <t>Fendona 6 SC</t>
  </si>
  <si>
    <t>Ficam</t>
  </si>
  <si>
    <t>Fludora Fusion</t>
  </si>
  <si>
    <t>ICON 10  CS - IRS</t>
  </si>
  <si>
    <t>Icon WP</t>
  </si>
  <si>
    <t>K-Othrine Polyzone</t>
  </si>
  <si>
    <t>K-Othrine WG250</t>
  </si>
  <si>
    <t>Klypson 500 WG</t>
  </si>
  <si>
    <t>Lambda-cyhalothrin 10% WP</t>
  </si>
  <si>
    <t>PALI 250 WG</t>
  </si>
  <si>
    <t>Pendulum 10 SC</t>
  </si>
  <si>
    <t>Pendulum 6 SC</t>
  </si>
  <si>
    <t>REVIVAL 100 CS</t>
  </si>
  <si>
    <t>REVIVAL 100 WP</t>
  </si>
  <si>
    <t>RUBI 100 SC</t>
  </si>
  <si>
    <t>RUBI 100 WP</t>
  </si>
  <si>
    <t>RUBI 250 WG-SB</t>
  </si>
  <si>
    <t>RUBI 50 SC</t>
  </si>
  <si>
    <t>RUBI 50 WP</t>
  </si>
  <si>
    <t>SOVRENTA 15WP</t>
  </si>
  <si>
    <t>SumiShield 50WG</t>
  </si>
  <si>
    <t>Sylando 240 SC</t>
  </si>
  <si>
    <t>Vectron 20WP</t>
  </si>
  <si>
    <t>VECTRON T500</t>
  </si>
  <si>
    <t>Habitat Modification</t>
  </si>
  <si>
    <t>Habitat Manipulation</t>
  </si>
  <si>
    <t>Biological Control</t>
  </si>
  <si>
    <t xml:space="preserve">Larviciding </t>
  </si>
  <si>
    <t>Dual AI</t>
  </si>
  <si>
    <t xml:space="preserve">PBO </t>
  </si>
  <si>
    <t>Standard Pyrethroid</t>
  </si>
  <si>
    <t>per ITN</t>
  </si>
  <si>
    <t>per bale</t>
  </si>
  <si>
    <t>per year</t>
  </si>
  <si>
    <t>per State</t>
  </si>
  <si>
    <t>per LGA</t>
  </si>
  <si>
    <t>per child</t>
  </si>
  <si>
    <t>per dose</t>
  </si>
  <si>
    <t>per facility</t>
  </si>
  <si>
    <t>per SP</t>
  </si>
  <si>
    <t>per AL</t>
  </si>
  <si>
    <t>per RDT kit</t>
  </si>
  <si>
    <t>per RAS</t>
  </si>
  <si>
    <t>per 60mg powder</t>
  </si>
  <si>
    <t>Procurement</t>
  </si>
  <si>
    <t>Distribution</t>
  </si>
  <si>
    <t>Operational</t>
  </si>
  <si>
    <t>notes</t>
  </si>
  <si>
    <t>Support</t>
  </si>
  <si>
    <t>Net Storage</t>
  </si>
  <si>
    <t>Campaign</t>
  </si>
  <si>
    <t>per SPAQ pack 3-11 month olds</t>
  </si>
  <si>
    <t>per SPAQ pack 12-59 month olds</t>
  </si>
  <si>
    <t>ngn_cost</t>
  </si>
  <si>
    <t>AL</t>
  </si>
  <si>
    <t>Artesunate injections</t>
  </si>
  <si>
    <t>RAS</t>
  </si>
  <si>
    <t>RDT kits</t>
  </si>
  <si>
    <t>Distribution from National to DH level</t>
  </si>
  <si>
    <t>Quality medicine audit</t>
  </si>
  <si>
    <t>source_state</t>
  </si>
  <si>
    <t>intervention</t>
  </si>
  <si>
    <t>unit_cost_relevance</t>
  </si>
  <si>
    <t xml:space="preserve">activity </t>
  </si>
  <si>
    <t>subactivity</t>
  </si>
  <si>
    <t>cost_usd</t>
  </si>
  <si>
    <t>activity_total_usd</t>
  </si>
  <si>
    <t>activity_prop</t>
  </si>
  <si>
    <t>Kwara</t>
  </si>
  <si>
    <t xml:space="preserve">operational </t>
  </si>
  <si>
    <t>coordination and planning</t>
  </si>
  <si>
    <t xml:space="preserve">Planning Meeting </t>
  </si>
  <si>
    <t xml:space="preserve">Entry meeting with SMEP Team  </t>
  </si>
  <si>
    <t xml:space="preserve">LGA Microplan Collation and  Analysis  Workshop </t>
  </si>
  <si>
    <t xml:space="preserve">State Level Microplan Validation Meeting </t>
  </si>
  <si>
    <t xml:space="preserve">Debrief Meeting </t>
  </si>
  <si>
    <t>procurement (non drugs)</t>
  </si>
  <si>
    <t>Printing of SMC training and implementation tools</t>
  </si>
  <si>
    <t>Production of visibility materials</t>
  </si>
  <si>
    <t>Procurement of PPEs</t>
  </si>
  <si>
    <t>Procurement of  Stationeries</t>
  </si>
  <si>
    <t>training for delivery</t>
  </si>
  <si>
    <t>Conduct training of State trainers/supervisors (5/LGA) - 3days non-residential/Residential for far LGAs with one day arrival</t>
  </si>
  <si>
    <t>Training of Health Facility Workers</t>
  </si>
  <si>
    <t>Training of Participants - Community Drug Distributors (CDDs)</t>
  </si>
  <si>
    <t>Training of Health Educators on SMC SBC</t>
  </si>
  <si>
    <t>1-day orientation for Town Announcers</t>
  </si>
  <si>
    <t>1-day orientation for Lead Mothers</t>
  </si>
  <si>
    <t>logistics</t>
  </si>
  <si>
    <t>Support Commodity Management Review Meetings to develop and review distribution plan for each cycle</t>
  </si>
  <si>
    <t>Packaging materials</t>
  </si>
  <si>
    <t>Last Mile Distribution</t>
  </si>
  <si>
    <t>Reverse logistics</t>
  </si>
  <si>
    <t>personnel</t>
  </si>
  <si>
    <t>Distribution Allowance for CDDs</t>
  </si>
  <si>
    <t>Transport Allowance for  CDD Recorder Provisioning and Reconciliation days</t>
  </si>
  <si>
    <t xml:space="preserve">Distribution Allowances for Town Announcers </t>
  </si>
  <si>
    <t>Distribution Allowances for Lead Mothers</t>
  </si>
  <si>
    <t>Distribution/Monitoring Allowance for health facility workers</t>
  </si>
  <si>
    <t>Distribution/Monitoring Allowance for LGA team</t>
  </si>
  <si>
    <t>Allowance for State team</t>
  </si>
  <si>
    <t>Allowance LGA TAs  (10-days per cycle) to provide compliance oversight functions during campaign and  conduct post review after the campaign</t>
  </si>
  <si>
    <t>Biodata capturing  for SMC Personnel</t>
  </si>
  <si>
    <t>End of Cycle Review Meetings at state level (4cycles)</t>
  </si>
  <si>
    <t>Allowance for SMEP personnels and TAs</t>
  </si>
  <si>
    <t>Grand total</t>
  </si>
  <si>
    <t xml:space="preserve">Number of children </t>
  </si>
  <si>
    <t>Cost per child</t>
  </si>
  <si>
    <t>requirements</t>
  </si>
  <si>
    <t>quantity</t>
  </si>
  <si>
    <t>unit_cost</t>
  </si>
  <si>
    <t>Kaduna</t>
  </si>
  <si>
    <t>operational</t>
  </si>
  <si>
    <t>Residential Training Budget – LGA TAs, State &amp; LGA Team</t>
  </si>
  <si>
    <t>Participants (5 state team, 1 LGA coordinator &amp; 1 LGA TA/LGA)</t>
  </si>
  <si>
    <t>Tea break (2 times daily)</t>
  </si>
  <si>
    <t>Participants (4 LGA team/LGA)</t>
  </si>
  <si>
    <t>Lunch</t>
  </si>
  <si>
    <t xml:space="preserve">Facilitators: CTAT and ICT4D (will require additional 2 technical, 2 logistics &amp; 2 DC the combine session for the 4 classes) </t>
  </si>
  <si>
    <t>Hall (combined session) Large</t>
  </si>
  <si>
    <t>Partners (SFF Advisors,SFH, CRS, NMEP, chemonics and other partners)</t>
  </si>
  <si>
    <t>Hall (break out session) Medium</t>
  </si>
  <si>
    <t>Workshop assistants</t>
  </si>
  <si>
    <t>Hall (break out session) Small</t>
  </si>
  <si>
    <t>Days</t>
  </si>
  <si>
    <t>workshop materials</t>
  </si>
  <si>
    <t xml:space="preserve">Transport - participants </t>
  </si>
  <si>
    <t>Transportation for workshop assistants</t>
  </si>
  <si>
    <t>DSA for participants-travel day</t>
  </si>
  <si>
    <t>DSA for participants-training days</t>
  </si>
  <si>
    <t>Transport - facilitators (CTAT &amp; ICT4D consultants)</t>
  </si>
  <si>
    <t>Workshop assistants cost</t>
  </si>
  <si>
    <t>Facilitation allowance</t>
  </si>
  <si>
    <t>DSA for facilitators (CTAT &amp; 4 ICT4D)-training days</t>
  </si>
  <si>
    <t>Materials - stationary</t>
  </si>
  <si>
    <t>Training of LGA coordinators on operations + activity management</t>
  </si>
  <si>
    <t>Participants (LGA coordinators)</t>
  </si>
  <si>
    <t>Tea break (2 times)</t>
  </si>
  <si>
    <t>Facilitators: (1 Operations Support, 1 finance, VC)</t>
  </si>
  <si>
    <t>SFH ICT4D + M&amp;E</t>
  </si>
  <si>
    <t>Hall (medium)</t>
  </si>
  <si>
    <t>Transport for participants</t>
  </si>
  <si>
    <t>Training of TTAs  &amp; LGA coordinators on device deployment and CAT platform</t>
  </si>
  <si>
    <t>Participants (TTA)</t>
  </si>
  <si>
    <t>No of classes</t>
  </si>
  <si>
    <t>Hall (Big)</t>
  </si>
  <si>
    <t>Facilitators: (4 ICT4D consultants, 2 Operations Support, 4 Finance)</t>
  </si>
  <si>
    <t>DSA for facilitators</t>
  </si>
  <si>
    <t>2 ICT4D team +3 VC+2 SFH ICT4D + 1 NMEP</t>
  </si>
  <si>
    <t xml:space="preserve">Facilitation allowance </t>
  </si>
  <si>
    <t xml:space="preserve">Facilitation transport </t>
  </si>
  <si>
    <t>Training of TTAs on HHM &amp; Distribution process</t>
  </si>
  <si>
    <t>No. of classes</t>
  </si>
  <si>
    <t>Facilitators: (4 ICT4D consultants, 2 CTAT technical)</t>
  </si>
  <si>
    <t>Hall (large)</t>
  </si>
  <si>
    <t>4 ICT4D team +CM + 2 Operations support+ 1 workstream advisor</t>
  </si>
  <si>
    <t>Orientation of CSO on campaign SBC implementation</t>
  </si>
  <si>
    <t>Participants (1/ Rep/CSO)</t>
  </si>
  <si>
    <t>Facilitators: (CTAT )</t>
  </si>
  <si>
    <t>1 state programme manager, 1 SHE, 1 NMEP, 1 DC Advisor</t>
  </si>
  <si>
    <t>Transport - participants</t>
  </si>
  <si>
    <t>Transport - facilitators</t>
  </si>
  <si>
    <t>Transport - facilitators (State HE)</t>
  </si>
  <si>
    <t>Facilitation allowance (CTAT )</t>
  </si>
  <si>
    <t>Facilitator allowance (State HE)</t>
  </si>
  <si>
    <t>Training of CMTs on end process</t>
  </si>
  <si>
    <t>Participants (4/LGA)</t>
  </si>
  <si>
    <t>Facilitators: (6 CTAT &amp; 4 ICT4D consultant)</t>
  </si>
  <si>
    <t>1 state programme manager, 3 workstream advisors, 1 NMEP, 1 CM,  2 operations support staff</t>
  </si>
  <si>
    <t>Workshop material</t>
  </si>
  <si>
    <t>Facilitation allowance (CTAT &amp; ICT4D consultants)</t>
  </si>
  <si>
    <t>Media parley</t>
  </si>
  <si>
    <t>Participants (30 representatives from media outfits-print and electronic)</t>
  </si>
  <si>
    <t>Facilitators: 2 CTAT, 4 ICT4D, 1 State HE</t>
  </si>
  <si>
    <t>Hall (Medium)</t>
  </si>
  <si>
    <t>1 state programme manager, 1 operations, 1 NMEP &amp; 1 DWS advisor</t>
  </si>
  <si>
    <t xml:space="preserve">Transport - facilitators </t>
  </si>
  <si>
    <t>Orientation of LGA conveyors</t>
  </si>
  <si>
    <t>Participants (1 per LGA)</t>
  </si>
  <si>
    <t>Facilitator (CTAT - logistics workstream)</t>
  </si>
  <si>
    <t>Transport - participants (LGA conveyors)</t>
  </si>
  <si>
    <t>Facilitator (State Logistician)</t>
  </si>
  <si>
    <t>Transport - facilitators (State Logistician)</t>
  </si>
  <si>
    <t>Monitor: State team, operation support, LWS advisor</t>
  </si>
  <si>
    <t>Transport allowance (CTAT)</t>
  </si>
  <si>
    <t>DSA for facilitator (CTAT)</t>
  </si>
  <si>
    <t>Facilitator allowance (State logistician)</t>
  </si>
  <si>
    <t>Facilitator allowance (CTAT)</t>
  </si>
  <si>
    <t>Orientation of State warehouse team</t>
  </si>
  <si>
    <t>Participants (3 per warehouse)</t>
  </si>
  <si>
    <t>Transport - participants (State warehouse team)</t>
  </si>
  <si>
    <t>Monitor: State team, LWS advisor</t>
  </si>
  <si>
    <t>Orientation of State ICCN</t>
  </si>
  <si>
    <t xml:space="preserve">Participants </t>
  </si>
  <si>
    <t>Facilitator (CTAT)</t>
  </si>
  <si>
    <t>State team, NMEP, 3 VC &amp; operation support</t>
  </si>
  <si>
    <t>Transport - participants (ICCN)</t>
  </si>
  <si>
    <t>DSA for facilitator</t>
  </si>
  <si>
    <t>Training of Cluster supervisors</t>
  </si>
  <si>
    <t>Participants (6 teams/CS or minimum of 2 per ward)</t>
  </si>
  <si>
    <t>Tea break</t>
  </si>
  <si>
    <t>Facilitators: (4 LGA team/LGA)</t>
  </si>
  <si>
    <t>Facilitators: (1 LGA TA/LGA)</t>
  </si>
  <si>
    <t>Transport - participants (ward)</t>
  </si>
  <si>
    <t>Facilitators: (1 TTA/LGA)</t>
  </si>
  <si>
    <t>Transport - facilitators (LGA)</t>
  </si>
  <si>
    <t>Monitor: 1 per LGA (LGA coordinators)</t>
  </si>
  <si>
    <t>Transport - facilitators (LGA TAs)</t>
  </si>
  <si>
    <t>Facilitation allowance (LGA team)</t>
  </si>
  <si>
    <t>Facilitation allowance (LGA TAs)</t>
  </si>
  <si>
    <t>Facilitation allowance (TTA)</t>
  </si>
  <si>
    <t>Out of station allowance (TTA)</t>
  </si>
  <si>
    <t xml:space="preserve"> Transport - facilitators (TTA)</t>
  </si>
  <si>
    <t>Workshop materials</t>
  </si>
  <si>
    <t>Orientation of Town Announcers</t>
  </si>
  <si>
    <t>Participants (5 per ward)</t>
  </si>
  <si>
    <t>Facilitator (2 cluster sup/LGA)</t>
  </si>
  <si>
    <t>Facilitator (LGA HE)</t>
  </si>
  <si>
    <t>Transport - participants (town announcers)</t>
  </si>
  <si>
    <t>Monitor: 1 per LGA (LGA Coordinators)</t>
  </si>
  <si>
    <t>Transport - facilitators (cluster supervisor)</t>
  </si>
  <si>
    <t>Transport - facilitators (LGA HE)</t>
  </si>
  <si>
    <t>Facilitator allowance (cluster supervisor)</t>
  </si>
  <si>
    <t>Facilitator allowance (LGA HE)</t>
  </si>
  <si>
    <t>Photocopy</t>
  </si>
  <si>
    <t>Training of Household Mobilizers/ITN distributor</t>
  </si>
  <si>
    <t>Participants</t>
  </si>
  <si>
    <t>Facilitators: Cluster supervisors (1/ward)</t>
  </si>
  <si>
    <t>Facilitators: LGA team (4/LGA)</t>
  </si>
  <si>
    <t>Transport - participants (HHM)</t>
  </si>
  <si>
    <t>Facilitators: TTAs</t>
  </si>
  <si>
    <t>Transport - facilitators (LGA team)</t>
  </si>
  <si>
    <t>Monitors:LGA coordinators, LGA TAs</t>
  </si>
  <si>
    <t>Transport - facilitators (Cluster supervisors)</t>
  </si>
  <si>
    <t>Facilitators allowance (LGA team)</t>
  </si>
  <si>
    <t>Facilitators allowance (Cluster supervisors)</t>
  </si>
  <si>
    <t>Facilitation allowance for TTAs</t>
  </si>
  <si>
    <t>Out of station allowance</t>
  </si>
  <si>
    <t>Transport - facilitators TTAs</t>
  </si>
  <si>
    <t>Materials - photocopy</t>
  </si>
  <si>
    <t>Training of Distribution Hub Supervisor</t>
  </si>
  <si>
    <t>Participants (1/DH)</t>
  </si>
  <si>
    <t>Facilitators: LGA logistician (1 per LGA)</t>
  </si>
  <si>
    <t>Facilitators: LGA TAs</t>
  </si>
  <si>
    <t>Transport - participants (DP sup)</t>
  </si>
  <si>
    <t>Facilitators: TTA</t>
  </si>
  <si>
    <t>Transport - facilitators (LGA logistician)</t>
  </si>
  <si>
    <t>Monitors: 1 per LGA (LGA coordinators) &amp; 1 LGA MFP</t>
  </si>
  <si>
    <t>Facilitation allowance - TTAs</t>
  </si>
  <si>
    <t>Out of station allowance - TTAs</t>
  </si>
  <si>
    <t>Facilitation fee - LGA logistician</t>
  </si>
  <si>
    <t>Facilitation fee - LGA TAs</t>
  </si>
  <si>
    <t>Orientation of DH conveyors</t>
  </si>
  <si>
    <t>Participants (1 per ward)</t>
  </si>
  <si>
    <t>Facilitator (1 LGA TAs)</t>
  </si>
  <si>
    <t>Transport - participants (DP conveyors)</t>
  </si>
  <si>
    <t>Facilitator (LGA Logistician)</t>
  </si>
  <si>
    <t>Transport - facilitators (LGA Logistician)</t>
  </si>
  <si>
    <t>Transport allowance (LGA TAs)</t>
  </si>
  <si>
    <t>Facilitator allowance (LGA logistician)</t>
  </si>
  <si>
    <t>Facilitator allowance (state supervisor)</t>
  </si>
  <si>
    <t>Training of Distribution Team</t>
  </si>
  <si>
    <t>Participants (2/DP - 1 distributor + 1 net card verifier)</t>
  </si>
  <si>
    <t>Facilitators: LGA team (4 per LGA)</t>
  </si>
  <si>
    <t>Facilitators: Cluster supervisors (1 per ward)</t>
  </si>
  <si>
    <t>Transport - participants (DP team)</t>
  </si>
  <si>
    <t>CIT &amp; LGA coordinators</t>
  </si>
  <si>
    <t>Out of station allowance for TTAs</t>
  </si>
  <si>
    <t>Orientation for DP Health Educators</t>
  </si>
  <si>
    <t>Participants (1/DP - DP health Educator)</t>
  </si>
  <si>
    <t>Facilitators: LGA TAs (1 per LGA)</t>
  </si>
  <si>
    <t>Transport - participants (DP)</t>
  </si>
  <si>
    <t>Facilitators: LGA HE (1 per LGA)</t>
  </si>
  <si>
    <t>LGA MFP &amp; LGA coordinators</t>
  </si>
  <si>
    <t>Facilitators Allowance (LGA HE)</t>
  </si>
  <si>
    <t>Facilitators Allowance (LGA TAs)</t>
  </si>
  <si>
    <t>Orientation for security</t>
  </si>
  <si>
    <t>Participants (1/team)</t>
  </si>
  <si>
    <t xml:space="preserve">Facilitators: Cluster supervisors </t>
  </si>
  <si>
    <t>LGA TAs, LGA team &amp; LGA coordinators</t>
  </si>
  <si>
    <t>Transport - facilitators (cluster sup)</t>
  </si>
  <si>
    <t>Facilitators Allowance (cluster sup)</t>
  </si>
  <si>
    <t>Campaign materials and data tools</t>
  </si>
  <si>
    <t>Tools - Stock sheets (cardboard texture)</t>
  </si>
  <si>
    <t>Logistic</t>
  </si>
  <si>
    <t>Tools - Invetory Control Card (cardboard texture)</t>
  </si>
  <si>
    <t>Tools - Waybill</t>
  </si>
  <si>
    <t>Tools - Incidence report sheet</t>
  </si>
  <si>
    <t>T-shirt &amp; printing</t>
  </si>
  <si>
    <t>Demand creation</t>
  </si>
  <si>
    <t>Caps</t>
  </si>
  <si>
    <t>Aprons and printing</t>
  </si>
  <si>
    <t>4x2 flex DP Banners</t>
  </si>
  <si>
    <t>Sash for net ambasadors &amp; advocates</t>
  </si>
  <si>
    <t>Plaque for net ambassador &amp; advocates</t>
  </si>
  <si>
    <t>Certificates for net ambassador &amp;advocates</t>
  </si>
  <si>
    <t>Advocacy kit</t>
  </si>
  <si>
    <t>Net cards (CATS state)</t>
  </si>
  <si>
    <t>Implementation - Household mobilization/ITN distribution</t>
  </si>
  <si>
    <t>Net cards for training</t>
  </si>
  <si>
    <t>MDT-Algorithm</t>
  </si>
  <si>
    <t>2x4 flex chart for Mobilizatino/ITN Distribution Training chart</t>
  </si>
  <si>
    <t>Tools - Net card reconciliation (MFP)</t>
  </si>
  <si>
    <t>Tools - Net card reconciliation (Cluster Supervisors)</t>
  </si>
  <si>
    <t>Tools - Net card reconciliation (DH Supervisors)</t>
  </si>
  <si>
    <t>Tools - HH Registration Sheet (i-3)</t>
  </si>
  <si>
    <t>Tools - Net card Distr Daily Sum Sheets (i-4a)</t>
  </si>
  <si>
    <t>Tools - Net card Distr Sum Sheet - DH (i-4b)</t>
  </si>
  <si>
    <t>Tools - Net card Distr Sum Sheet - LGA (i-4c)</t>
  </si>
  <si>
    <t>Household revist cards</t>
  </si>
  <si>
    <t>HH mob - Chalk (pack of 50)</t>
  </si>
  <si>
    <t>HH mob - plastic folders</t>
  </si>
  <si>
    <t>1 page A3  laminater colored HE handneld flip chart for MDTs</t>
  </si>
  <si>
    <t>SOP MDT</t>
  </si>
  <si>
    <t>SOP DH supervisors</t>
  </si>
  <si>
    <t>MDT Workplan sheet</t>
  </si>
  <si>
    <t>SOP for CSOs</t>
  </si>
  <si>
    <t>SOP for cluster supervisors</t>
  </si>
  <si>
    <t>SOP for LGA team</t>
  </si>
  <si>
    <t>4x2 flex chart for Distribution Training</t>
  </si>
  <si>
    <t>Pens (for all) pack of 50</t>
  </si>
  <si>
    <t>Bale Cutters</t>
  </si>
  <si>
    <t>Markers (Pieces)</t>
  </si>
  <si>
    <t>Bags for losse nets and materials (bacco sack like plolythene bags)</t>
  </si>
  <si>
    <t>Paper for printing badges (Reams)</t>
  </si>
  <si>
    <t>ICT4D</t>
  </si>
  <si>
    <t>Toners for printer to print campaign personnel badges</t>
  </si>
  <si>
    <t>Toner for printer to print Demo badges for training</t>
  </si>
  <si>
    <t>Badge holders + Strip</t>
  </si>
  <si>
    <t>Data bundle for routers</t>
  </si>
  <si>
    <t>Carry sacks for devices</t>
  </si>
  <si>
    <t>Temper proof seal for devices</t>
  </si>
  <si>
    <t>Waterproof Bags for devices</t>
  </si>
  <si>
    <t>Handling</t>
  </si>
  <si>
    <t>Sync verification form</t>
  </si>
  <si>
    <t>P-3D update form</t>
  </si>
  <si>
    <t xml:space="preserve">Guarantor's form </t>
  </si>
  <si>
    <t>Tools - M&amp;S forms (i9-a)</t>
  </si>
  <si>
    <t>Monitoring &amp; Supervision</t>
  </si>
  <si>
    <t>Tools - M&amp;S forms (i9-b)</t>
  </si>
  <si>
    <t>Tools - Cluster supervisors supervisory checklist</t>
  </si>
  <si>
    <t>Tools - M&amp;S forms (i9-d)</t>
  </si>
  <si>
    <t>Tools - end process assessment forms 1</t>
  </si>
  <si>
    <t>Tools - end process assessment forms 2</t>
  </si>
  <si>
    <t>Training manual</t>
  </si>
  <si>
    <t>Printer ink</t>
  </si>
  <si>
    <t>Operations</t>
  </si>
  <si>
    <t>Advert placement for procurement</t>
  </si>
  <si>
    <t>Transport of tools &amp; materials to State (15 tonn truck)</t>
  </si>
  <si>
    <t>Transport of tools &amp; materials to LGA (canter or bus)</t>
  </si>
  <si>
    <t xml:space="preserve">Promotional material for Logistics Demand Creation and M&amp;S </t>
  </si>
  <si>
    <t>Physical stock count of ITNs in warehouse (after macro logistics)</t>
  </si>
  <si>
    <t>Physical stock count of ITNs in warehouse (after reverse logistics)</t>
  </si>
  <si>
    <t>Reverse logistics from DHs to LGA store (including loading &amp; off loading: Non-hard to reach</t>
  </si>
  <si>
    <t>Reverse logistics from DHs to LGA store: hard to reach</t>
  </si>
  <si>
    <t>Community Mobilization - Radio/TV Airtime (gov)</t>
  </si>
  <si>
    <t>Net Ambassador's investiture (investiture &amp; production of radio message)</t>
  </si>
  <si>
    <t>Airing of endorsment jingle by Net Ambassador</t>
  </si>
  <si>
    <t>Documentary (Video and Photographs)</t>
  </si>
  <si>
    <t>State campaign flagoff</t>
  </si>
  <si>
    <t>Batteries for mega phones (4 pack of battery)</t>
  </si>
  <si>
    <t>CSO - facilitation fee for orientation session with community leaders</t>
  </si>
  <si>
    <t>Lunch for orientation sessions</t>
  </si>
  <si>
    <t>Materials for orientation sessions</t>
  </si>
  <si>
    <t>CSO - facilitation fee for orientation session with religious/traditional leaders</t>
  </si>
  <si>
    <t>CSO - facilitation fee for orientation sessions with school health coordinators</t>
  </si>
  <si>
    <t>CSO - facilitation fee of SOPs for orientation session with union leaders</t>
  </si>
  <si>
    <t>CSO Facilitation fee-Sensitization session with communty leaders/ religious/traditional leaders and their members (1 session per ward per phase with 10-20 participants)</t>
  </si>
  <si>
    <t>CSO Facilitation fee- Sensitization session in schools with health coordinators and students (2 schools per ward per phase with 10-20 participants)</t>
  </si>
  <si>
    <t>CSO Facilitation fee- Sensitization session with unions leaders and their members (2 unions per ward per phase with 10-20 participants)</t>
  </si>
  <si>
    <t>CSO - Mobile street announcement (3 days per phase)</t>
  </si>
  <si>
    <t>CSO - cost of banner</t>
  </si>
  <si>
    <t>Daily review meeting during HHM &amp; net distribution</t>
  </si>
  <si>
    <t>Hall for review meetings (Large)</t>
  </si>
  <si>
    <t>ICCN review meeting</t>
  </si>
  <si>
    <t>ICCN review meeting - transport for participants</t>
  </si>
  <si>
    <t>Vehicle for M&amp;S</t>
  </si>
  <si>
    <t>Vehicle for M&amp;S (car pool)</t>
  </si>
  <si>
    <t>Waste management</t>
  </si>
  <si>
    <t>Security (Police/vigiliante/NSCDC/DSS/Army\/State) and Contigency logistics</t>
  </si>
  <si>
    <t>Campaign personnel honorarium, daily rate and travels</t>
  </si>
  <si>
    <t>CTAT (Technical Workstream)</t>
  </si>
  <si>
    <t>CTAT (Demand Creation WS consultants)</t>
  </si>
  <si>
    <t>CTAT (Logistics WS consultants)</t>
  </si>
  <si>
    <t>CTAT (support facilitators)</t>
  </si>
  <si>
    <t>NMEP rep</t>
  </si>
  <si>
    <t>ICT4D consultants (4 per State)</t>
  </si>
  <si>
    <t>state team (ES SPHCDA, DPH, SMEP manager, state health educator, state logistician)</t>
  </si>
  <si>
    <t>LGA TAs (1 per LGA)</t>
  </si>
  <si>
    <t>State warehouse manager -  (Depending on the number of warehouses per state)</t>
  </si>
  <si>
    <t>Assistant warehouse manager - (2 per warehouse)</t>
  </si>
  <si>
    <t>LGA conveyors - (1 per LGA)</t>
  </si>
  <si>
    <t>Media reporting journalist - (3 per State)</t>
  </si>
  <si>
    <t>TTAs</t>
  </si>
  <si>
    <t>LGA coordinators - (1 per LGA)</t>
  </si>
  <si>
    <t>LGA team (PHCC/MoH)</t>
  </si>
  <si>
    <t>LGA team (MFP)</t>
  </si>
  <si>
    <t>LGA team (LGA HE)</t>
  </si>
  <si>
    <t>LGA team (LGA logistician)</t>
  </si>
  <si>
    <t>LGA store keeper - 1 per LGA</t>
  </si>
  <si>
    <t>LGA store security- 2 per LGA</t>
  </si>
  <si>
    <t>DH conveyors - 1 per DH</t>
  </si>
  <si>
    <t>Cluster supervisors - HHM/ITN Distribution</t>
  </si>
  <si>
    <t>Cluster supervisors - Distribution</t>
  </si>
  <si>
    <t>Town announcers - 5 per ward</t>
  </si>
  <si>
    <t>Household mobilizers/ITN distributors</t>
  </si>
  <si>
    <t>DH supervisors - 1 per DH</t>
  </si>
  <si>
    <t>HHM/Distribution team security - 1 per team</t>
  </si>
  <si>
    <t>DP health educator - 1 per DP</t>
  </si>
  <si>
    <t>DH security - 1 per DH</t>
  </si>
  <si>
    <t>CMTs - 4 per LGA</t>
  </si>
  <si>
    <t>Travel for National and State level personnel for campaign implementation</t>
  </si>
  <si>
    <t>Air ticket &amp; Terminals</t>
  </si>
  <si>
    <t>CTAT + Support Facilitators</t>
  </si>
  <si>
    <t>Interstate for Kaduna</t>
  </si>
  <si>
    <t>DSA</t>
  </si>
  <si>
    <t>CTAT (for STOT Facilitation)</t>
  </si>
  <si>
    <t>ICT4D consultant</t>
  </si>
  <si>
    <t>ICT4D team</t>
  </si>
  <si>
    <t>Communication (Call &amp; Data)</t>
  </si>
  <si>
    <t>State team</t>
  </si>
  <si>
    <t>Out of Station allowance</t>
  </si>
  <si>
    <t>LGA coordinators</t>
  </si>
  <si>
    <t>Additional hotel room for secretariat</t>
  </si>
  <si>
    <t>VC unit - workstream Advisor</t>
  </si>
  <si>
    <t>Local transp</t>
  </si>
  <si>
    <t xml:space="preserve"> Interstate for Kaduna</t>
  </si>
  <si>
    <t xml:space="preserve"> PD &amp; DPD</t>
  </si>
  <si>
    <t>SFH M&amp;E/IT to support ICT4D</t>
  </si>
  <si>
    <t>Security</t>
  </si>
  <si>
    <t>Finance team</t>
  </si>
  <si>
    <t>Program/operations support</t>
  </si>
  <si>
    <t>NMEP &amp; SFH management team</t>
  </si>
  <si>
    <t>SFH &amp; NMEP reps (flag off)</t>
  </si>
  <si>
    <t>Car hire</t>
  </si>
  <si>
    <t>Number of Nets</t>
  </si>
  <si>
    <t>Cost per Net</t>
  </si>
  <si>
    <t>reduce by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</si>
</sst>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16" fillId="0" borderId="0" xfId="0" applyFont="1"/>
    <xf numFmtId="43" fontId="0" fillId="0" borderId="0" xfId="42" applyFont="1"/>
    <xf numFmtId="0" fontId="16" fillId="0" borderId="10" xfId="0" applyFont="1" applyBorder="1"/>
    <xf numFmtId="0" fontId="16" fillId="0" borderId="11" xfId="0" applyFont="1" applyBorder="1"/>
    <xf numFmtId="0" fontId="0" fillId="0" borderId="11" xfId="0" applyBorder="1"/>
    <xf numFmtId="164" fontId="0" fillId="0" borderId="11" xfId="42" applyNumberFormat="1" applyFont="1" applyBorder="1"/>
    <xf numFmtId="0" fontId="0" fillId="0" borderId="12" xfId="0" applyBorder="1"/>
    <xf numFmtId="43" fontId="0" fillId="0" borderId="11" xfId="42" applyFont="1" applyBorder="1"/>
    <xf numFmtId="164" fontId="16" fillId="0" borderId="11" xfId="42" applyNumberFormat="1" applyFont="1" applyBorder="1"/>
    <xf numFmtId="164" fontId="16" fillId="0" borderId="0" xfId="42" applyNumberFormat="1" applyFont="1" applyBorder="1"/>
    <xf numFmtId="0" fontId="16" fillId="0" borderId="12" xfId="0" applyFont="1" applyBorder="1"/>
    <xf numFmtId="43" fontId="16" fillId="0" borderId="12" xfId="42" applyFont="1" applyBorder="1"/>
    <xf numFmtId="0" fontId="18" fillId="0" borderId="10" xfId="0" applyFont="1" applyBorder="1"/>
    <xf numFmtId="0" fontId="18" fillId="0" borderId="11" xfId="0" applyFont="1" applyBorder="1"/>
    <xf numFmtId="0" fontId="18" fillId="0" borderId="0" xfId="0" applyFont="1"/>
    <xf numFmtId="0" fontId="19" fillId="0" borderId="0" xfId="0" applyFont="1"/>
    <xf numFmtId="0" fontId="19" fillId="0" borderId="11" xfId="0" applyFont="1" applyBorder="1"/>
    <xf numFmtId="164" fontId="19" fillId="0" borderId="11" xfId="42" applyNumberFormat="1" applyFont="1" applyFill="1" applyBorder="1"/>
    <xf numFmtId="164" fontId="19" fillId="0" borderId="0" xfId="42" applyNumberFormat="1" applyFont="1" applyFill="1" applyBorder="1"/>
    <xf numFmtId="0" fontId="19" fillId="0" borderId="12" xfId="0" applyFont="1" applyBorder="1"/>
    <xf numFmtId="164" fontId="19" fillId="0" borderId="12" xfId="42" applyNumberFormat="1" applyFont="1" applyFill="1" applyBorder="1"/>
    <xf numFmtId="43" fontId="19" fillId="0" borderId="11" xfId="42" applyFont="1" applyFill="1" applyBorder="1"/>
    <xf numFmtId="164" fontId="18" fillId="0" borderId="11" xfId="42" applyNumberFormat="1" applyFont="1" applyFill="1" applyBorder="1"/>
    <xf numFmtId="164" fontId="18" fillId="0" borderId="0" xfId="42" applyNumberFormat="1" applyFont="1" applyFill="1" applyBorder="1"/>
    <xf numFmtId="0" fontId="18" fillId="0" borderId="12" xfId="0" applyFont="1" applyBorder="1"/>
    <xf numFmtId="43" fontId="18" fillId="0" borderId="12" xfId="42" applyFont="1" applyFill="1" applyBorder="1"/>
    <xf numFmtId="43" fontId="0" fillId="0" borderId="0" xfId="42" applyFont="1" applyBorder="1"/>
    <xf numFmtId="43" fontId="0" fillId="0" borderId="12" xfId="42" applyFont="1" applyBorder="1"/>
    <xf numFmtId="43" fontId="0" fillId="0" borderId="11" xfId="0" applyNumberFormat="1" applyBorder="1"/>
    <xf numFmtId="1" fontId="0" fillId="0" borderId="0" xfId="0" applyNumberFormat="1"/>
    <xf numFmtId="43" fontId="0" fillId="0" borderId="0" xfId="0" applyNumberFormat="1"/>
    <xf numFmtId="1" fontId="0" fillId="0" borderId="12" xfId="0" applyNumberFormat="1" applyBorder="1"/>
    <xf numFmtId="164" fontId="0" fillId="0" borderId="0" xfId="42" applyNumberFormat="1" applyFont="1"/>
    <xf numFmtId="1" fontId="0" fillId="0" borderId="0" xfId="42" applyNumberFormat="1" applyFont="1"/>
    <xf numFmtId="1" fontId="0" fillId="0" borderId="12" xfId="42" applyNumberFormat="1" applyFont="1" applyBorder="1"/>
    <xf numFmtId="1" fontId="0" fillId="0" borderId="11" xfId="42" applyNumberFormat="1" applyFont="1" applyBorder="1"/>
    <xf numFmtId="1" fontId="0" fillId="0" borderId="0" xfId="42" applyNumberFormat="1" applyFont="1" applyBorder="1"/>
    <xf numFmtId="1" fontId="0" fillId="0" borderId="11" xfId="0" applyNumberFormat="1" applyBorder="1"/>
    <xf numFmtId="164" fontId="0" fillId="0" borderId="0" xfId="0" applyNumberFormat="1"/>
    <xf numFmtId="164" fontId="16" fillId="0" borderId="0" xfId="42" applyNumberFormat="1" applyFont="1"/>
    <xf numFmtId="164" fontId="16" fillId="0" borderId="0" xfId="0" applyNumberFormat="1" applyFont="1"/>
    <xf numFmtId="43" fontId="16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D6" sqref="D6"/>
    </sheetView>
  </sheetViews>
  <sheetFormatPr defaultRowHeight="15" x14ac:dyDescent="0.25"/>
  <cols>
    <col min="1" max="1" width="19" customWidth="1"/>
    <col min="2" max="2" width="20.28515625" customWidth="1"/>
    <col min="3" max="3" width="14.7109375" customWidth="1"/>
    <col min="4" max="4" width="13.28515625" customWidth="1"/>
    <col min="5" max="5" width="21.42578125" customWidth="1"/>
    <col min="6" max="6" width="11" customWidth="1"/>
    <col min="7" max="8" width="11.7109375" customWidth="1"/>
  </cols>
  <sheetData>
    <row r="1" spans="1:9" x14ac:dyDescent="0.25">
      <c r="A1" s="1" t="s">
        <v>4</v>
      </c>
      <c r="B1" s="1" t="s">
        <v>5</v>
      </c>
      <c r="C1" s="1" t="s">
        <v>6</v>
      </c>
      <c r="D1" s="1" t="s">
        <v>0</v>
      </c>
      <c r="E1" s="1" t="s">
        <v>83</v>
      </c>
      <c r="F1" s="1" t="s">
        <v>1</v>
      </c>
      <c r="G1" s="1" t="s">
        <v>2</v>
      </c>
      <c r="H1" s="1" t="s">
        <v>77</v>
      </c>
      <c r="I1" s="1" t="s">
        <v>3</v>
      </c>
    </row>
    <row r="2" spans="1:9" x14ac:dyDescent="0.25">
      <c r="A2" t="s">
        <v>15</v>
      </c>
      <c r="B2" t="s">
        <v>58</v>
      </c>
      <c r="C2" t="s">
        <v>74</v>
      </c>
      <c r="D2" t="s">
        <v>61</v>
      </c>
      <c r="E2" s="2">
        <v>5584.9688864</v>
      </c>
      <c r="F2" s="2">
        <v>3.4906055540000001</v>
      </c>
    </row>
    <row r="3" spans="1:9" x14ac:dyDescent="0.25">
      <c r="A3" t="s">
        <v>15</v>
      </c>
      <c r="B3" t="s">
        <v>59</v>
      </c>
      <c r="C3" t="s">
        <v>74</v>
      </c>
      <c r="D3" t="s">
        <v>61</v>
      </c>
      <c r="E3" s="2"/>
      <c r="F3" s="2"/>
    </row>
    <row r="4" spans="1:9" x14ac:dyDescent="0.25">
      <c r="A4" t="s">
        <v>15</v>
      </c>
      <c r="B4" t="s">
        <v>60</v>
      </c>
      <c r="C4" t="s">
        <v>74</v>
      </c>
      <c r="D4" t="s">
        <v>61</v>
      </c>
      <c r="E4" s="2"/>
      <c r="F4" s="2"/>
    </row>
    <row r="5" spans="1:9" x14ac:dyDescent="0.25">
      <c r="A5" t="s">
        <v>15</v>
      </c>
      <c r="B5" t="s">
        <v>58</v>
      </c>
      <c r="C5" t="s">
        <v>75</v>
      </c>
      <c r="D5" t="s">
        <v>62</v>
      </c>
      <c r="E5" s="2">
        <v>10000</v>
      </c>
      <c r="F5" s="2">
        <v>6.25</v>
      </c>
      <c r="H5" t="s">
        <v>88</v>
      </c>
    </row>
    <row r="6" spans="1:9" x14ac:dyDescent="0.25">
      <c r="A6" t="s">
        <v>15</v>
      </c>
      <c r="B6" t="s">
        <v>58</v>
      </c>
      <c r="C6" t="s">
        <v>76</v>
      </c>
      <c r="D6" t="s">
        <v>61</v>
      </c>
      <c r="E6" s="2">
        <v>584</v>
      </c>
      <c r="F6" s="2">
        <v>7.0000000000000007E-2</v>
      </c>
    </row>
    <row r="7" spans="1:9" x14ac:dyDescent="0.25">
      <c r="A7" t="s">
        <v>15</v>
      </c>
      <c r="B7" t="s">
        <v>79</v>
      </c>
      <c r="C7" t="s">
        <v>78</v>
      </c>
      <c r="D7" t="s">
        <v>63</v>
      </c>
      <c r="E7" s="2">
        <v>8000000</v>
      </c>
      <c r="F7" s="2">
        <v>5000</v>
      </c>
    </row>
    <row r="8" spans="1:9" x14ac:dyDescent="0.25">
      <c r="A8" t="s">
        <v>16</v>
      </c>
      <c r="B8" t="s">
        <v>58</v>
      </c>
      <c r="C8" t="s">
        <v>74</v>
      </c>
      <c r="D8" t="s">
        <v>61</v>
      </c>
      <c r="E8" s="2">
        <v>5584.9688864</v>
      </c>
      <c r="F8" s="2">
        <v>3.4906055540000001</v>
      </c>
    </row>
    <row r="9" spans="1:9" x14ac:dyDescent="0.25">
      <c r="A9" t="s">
        <v>16</v>
      </c>
      <c r="B9" t="s">
        <v>59</v>
      </c>
      <c r="C9" t="s">
        <v>74</v>
      </c>
      <c r="D9" t="s">
        <v>61</v>
      </c>
      <c r="E9" s="2"/>
      <c r="F9" s="2"/>
    </row>
    <row r="10" spans="1:9" x14ac:dyDescent="0.25">
      <c r="A10" t="s">
        <v>16</v>
      </c>
      <c r="B10" t="s">
        <v>60</v>
      </c>
      <c r="C10" t="s">
        <v>74</v>
      </c>
      <c r="D10" t="s">
        <v>61</v>
      </c>
      <c r="E10" s="2"/>
      <c r="F10" s="2"/>
    </row>
    <row r="11" spans="1:9" x14ac:dyDescent="0.25">
      <c r="A11" t="s">
        <v>16</v>
      </c>
      <c r="B11" t="s">
        <v>58</v>
      </c>
      <c r="C11" t="s">
        <v>76</v>
      </c>
      <c r="D11" t="s">
        <v>61</v>
      </c>
      <c r="E11" s="2">
        <v>1396.2422216</v>
      </c>
      <c r="F11" s="2">
        <v>0.87265138850000001</v>
      </c>
    </row>
    <row r="12" spans="1:9" x14ac:dyDescent="0.25">
      <c r="A12" t="s">
        <v>12</v>
      </c>
      <c r="B12" t="s">
        <v>23</v>
      </c>
      <c r="C12" t="s">
        <v>74</v>
      </c>
      <c r="D12" t="s">
        <v>67</v>
      </c>
      <c r="E12" s="2">
        <v>6400</v>
      </c>
      <c r="F12" s="2">
        <v>4</v>
      </c>
    </row>
    <row r="13" spans="1:9" x14ac:dyDescent="0.25">
      <c r="A13" t="s">
        <v>12</v>
      </c>
      <c r="B13" t="s">
        <v>23</v>
      </c>
      <c r="C13" t="s">
        <v>76</v>
      </c>
      <c r="D13" t="s">
        <v>66</v>
      </c>
      <c r="E13" s="2">
        <v>1600</v>
      </c>
      <c r="F13" s="2">
        <v>1</v>
      </c>
    </row>
    <row r="14" spans="1:9" x14ac:dyDescent="0.25">
      <c r="A14" t="s">
        <v>10</v>
      </c>
      <c r="B14" t="s">
        <v>18</v>
      </c>
      <c r="C14" t="s">
        <v>74</v>
      </c>
      <c r="D14" t="s">
        <v>81</v>
      </c>
      <c r="E14" s="2">
        <v>390</v>
      </c>
      <c r="F14" s="2">
        <v>0.24374999999999999</v>
      </c>
    </row>
    <row r="15" spans="1:9" x14ac:dyDescent="0.25">
      <c r="A15" t="s">
        <v>10</v>
      </c>
      <c r="B15" t="s">
        <v>18</v>
      </c>
      <c r="C15" t="s">
        <v>74</v>
      </c>
      <c r="D15" t="s">
        <v>82</v>
      </c>
      <c r="E15" s="2">
        <v>435</v>
      </c>
      <c r="F15" s="2">
        <v>0.27187499999999998</v>
      </c>
    </row>
    <row r="16" spans="1:9" x14ac:dyDescent="0.25">
      <c r="A16" t="s">
        <v>10</v>
      </c>
      <c r="B16" t="s">
        <v>18</v>
      </c>
      <c r="C16" t="s">
        <v>76</v>
      </c>
      <c r="D16" t="s">
        <v>66</v>
      </c>
      <c r="E16" s="2">
        <v>2128</v>
      </c>
      <c r="F16" s="2">
        <v>0.57999999999999996</v>
      </c>
    </row>
    <row r="17" spans="1:8" x14ac:dyDescent="0.25">
      <c r="A17" t="s">
        <v>11</v>
      </c>
      <c r="B17" t="s">
        <v>17</v>
      </c>
      <c r="C17" t="s">
        <v>74</v>
      </c>
      <c r="D17" t="s">
        <v>69</v>
      </c>
      <c r="E17" s="2">
        <v>327</v>
      </c>
      <c r="F17" s="2">
        <v>0.204375</v>
      </c>
    </row>
    <row r="18" spans="1:8" x14ac:dyDescent="0.25">
      <c r="A18" t="s">
        <v>11</v>
      </c>
      <c r="B18" t="s">
        <v>17</v>
      </c>
      <c r="C18" t="s">
        <v>76</v>
      </c>
      <c r="D18" t="s">
        <v>66</v>
      </c>
      <c r="E18" s="2">
        <v>130</v>
      </c>
      <c r="F18" s="2">
        <v>8.1250000000000003E-2</v>
      </c>
    </row>
    <row r="19" spans="1:8" x14ac:dyDescent="0.25">
      <c r="A19" t="s">
        <v>9</v>
      </c>
      <c r="B19" t="s">
        <v>17</v>
      </c>
      <c r="C19" t="s">
        <v>74</v>
      </c>
      <c r="D19" t="s">
        <v>69</v>
      </c>
      <c r="E19" s="2">
        <v>808.92950399999995</v>
      </c>
      <c r="F19" s="2">
        <v>0.50558093999999998</v>
      </c>
    </row>
    <row r="20" spans="1:8" x14ac:dyDescent="0.25">
      <c r="A20" t="s">
        <v>9</v>
      </c>
      <c r="B20" t="s">
        <v>17</v>
      </c>
      <c r="C20" t="s">
        <v>75</v>
      </c>
      <c r="D20" t="s">
        <v>69</v>
      </c>
      <c r="E20" s="2">
        <v>202.23237599999999</v>
      </c>
      <c r="F20" s="2">
        <v>0.12639523499999999</v>
      </c>
    </row>
    <row r="21" spans="1:8" x14ac:dyDescent="0.25">
      <c r="A21" t="s">
        <v>7</v>
      </c>
      <c r="B21" t="s">
        <v>84</v>
      </c>
      <c r="C21" t="s">
        <v>74</v>
      </c>
      <c r="D21" t="s">
        <v>70</v>
      </c>
      <c r="E21" s="2">
        <v>1952</v>
      </c>
      <c r="F21" s="2">
        <v>1.22</v>
      </c>
    </row>
    <row r="22" spans="1:8" x14ac:dyDescent="0.25">
      <c r="A22" t="s">
        <v>7</v>
      </c>
      <c r="B22" t="s">
        <v>84</v>
      </c>
      <c r="C22" t="s">
        <v>75</v>
      </c>
      <c r="D22" t="s">
        <v>70</v>
      </c>
      <c r="E22" s="2">
        <v>488</v>
      </c>
      <c r="F22" s="2">
        <v>0.30499999999999999</v>
      </c>
    </row>
    <row r="23" spans="1:8" x14ac:dyDescent="0.25">
      <c r="A23" t="s">
        <v>7</v>
      </c>
      <c r="B23" t="s">
        <v>85</v>
      </c>
      <c r="C23" t="s">
        <v>74</v>
      </c>
      <c r="D23" t="s">
        <v>73</v>
      </c>
      <c r="E23" s="2">
        <v>3205</v>
      </c>
      <c r="F23" s="2">
        <v>2.0031249999999998</v>
      </c>
    </row>
    <row r="24" spans="1:8" x14ac:dyDescent="0.25">
      <c r="A24" t="s">
        <v>7</v>
      </c>
      <c r="B24" t="s">
        <v>85</v>
      </c>
      <c r="C24" t="s">
        <v>75</v>
      </c>
      <c r="D24" t="s">
        <v>73</v>
      </c>
      <c r="E24" s="2">
        <v>801.25</v>
      </c>
      <c r="F24" s="2">
        <v>0.50078124999999996</v>
      </c>
    </row>
    <row r="25" spans="1:8" x14ac:dyDescent="0.25">
      <c r="A25" t="s">
        <v>7</v>
      </c>
      <c r="B25" t="s">
        <v>86</v>
      </c>
      <c r="C25" t="s">
        <v>74</v>
      </c>
      <c r="D25" t="s">
        <v>72</v>
      </c>
      <c r="E25" s="2">
        <v>703</v>
      </c>
      <c r="F25" s="2">
        <v>0.43937500000000002</v>
      </c>
    </row>
    <row r="26" spans="1:8" x14ac:dyDescent="0.25">
      <c r="A26" t="s">
        <v>7</v>
      </c>
      <c r="B26" t="s">
        <v>86</v>
      </c>
      <c r="C26" t="s">
        <v>75</v>
      </c>
      <c r="D26" t="s">
        <v>72</v>
      </c>
      <c r="E26" s="2">
        <v>175.75</v>
      </c>
      <c r="F26" s="2">
        <v>0.10984375</v>
      </c>
    </row>
    <row r="27" spans="1:8" x14ac:dyDescent="0.25">
      <c r="A27" t="s">
        <v>7</v>
      </c>
      <c r="B27" t="s">
        <v>87</v>
      </c>
      <c r="C27" t="s">
        <v>74</v>
      </c>
      <c r="D27" t="s">
        <v>71</v>
      </c>
      <c r="E27" s="2">
        <v>740</v>
      </c>
      <c r="F27" s="2">
        <v>0.46250000000000002</v>
      </c>
    </row>
    <row r="28" spans="1:8" x14ac:dyDescent="0.25">
      <c r="A28" t="s">
        <v>7</v>
      </c>
      <c r="B28" t="s">
        <v>87</v>
      </c>
      <c r="C28" t="s">
        <v>75</v>
      </c>
      <c r="D28" t="s">
        <v>71</v>
      </c>
      <c r="E28" s="2">
        <v>185</v>
      </c>
      <c r="F28" s="2">
        <v>0.11562500000000001</v>
      </c>
    </row>
    <row r="29" spans="1:8" x14ac:dyDescent="0.25">
      <c r="A29" t="s">
        <v>7</v>
      </c>
      <c r="C29" t="s">
        <v>76</v>
      </c>
      <c r="E29" s="2">
        <v>3622523</v>
      </c>
      <c r="F29" s="2">
        <v>2264.0768750000002</v>
      </c>
      <c r="H29" t="s">
        <v>89</v>
      </c>
    </row>
  </sheetData>
  <dataValidations count="1">
    <dataValidation type="list" showInputMessage="1" showErrorMessage="1" sqref="C2:C1048576" xr:uid="{CF2B6038-255B-4E0E-9990-79C67B911883}">
      <formula1>"Procurement, Distribution, Operational, Support,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23E79F-74DE-47A3-AA72-02125CE1366C}">
          <x14:formula1>
            <xm:f>'list-items-ignore'!$B$1:$B$10</xm:f>
          </x14:formula1>
          <xm:sqref>A2:A1048576</xm:sqref>
        </x14:dataValidation>
        <x14:dataValidation type="list" allowBlank="1" showInputMessage="1" showErrorMessage="1" xr:uid="{E5E138DD-4BA1-445F-A665-4841EF8F02BE}">
          <x14:formula1>
            <xm:f>'list-items-ignore'!$D:$D</xm:f>
          </x14:formula1>
          <xm:sqref>B2:B1048576</xm:sqref>
        </x14:dataValidation>
        <x14:dataValidation type="list" allowBlank="1" showInputMessage="1" showErrorMessage="1" xr:uid="{613C0C3E-E487-435C-8D59-412773A42907}">
          <x14:formula1>
            <xm:f>'list-items-ignore'!$G:$G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2F9A-D8C6-4842-9FEA-2D618A9BA581}">
  <dimension ref="A1:I34"/>
  <sheetViews>
    <sheetView zoomScale="110" zoomScaleNormal="110" workbookViewId="0">
      <selection activeCell="I32" sqref="I32:I34"/>
    </sheetView>
  </sheetViews>
  <sheetFormatPr defaultRowHeight="15" x14ac:dyDescent="0.25"/>
  <cols>
    <col min="1" max="1" width="12.5703125" bestFit="1" customWidth="1"/>
    <col min="2" max="2" width="12.140625" bestFit="1" customWidth="1"/>
    <col min="3" max="3" width="19.28515625" bestFit="1" customWidth="1"/>
    <col min="4" max="4" width="25" bestFit="1" customWidth="1"/>
    <col min="5" max="5" width="73.5703125" customWidth="1"/>
    <col min="6" max="6" width="14" customWidth="1"/>
    <col min="7" max="7" width="16.85546875" bestFit="1" customWidth="1"/>
    <col min="8" max="8" width="12.5703125" bestFit="1" customWidth="1"/>
    <col min="9" max="9" width="11.5703125" bestFit="1" customWidth="1"/>
  </cols>
  <sheetData>
    <row r="1" spans="1:9" ht="28.5" customHeight="1" x14ac:dyDescent="0.25">
      <c r="A1" s="13" t="s">
        <v>90</v>
      </c>
      <c r="B1" s="13" t="s">
        <v>91</v>
      </c>
      <c r="C1" s="13" t="s">
        <v>92</v>
      </c>
      <c r="D1" s="14" t="s">
        <v>93</v>
      </c>
      <c r="E1" s="14" t="s">
        <v>94</v>
      </c>
      <c r="F1" s="14" t="s">
        <v>95</v>
      </c>
      <c r="G1" s="15" t="s">
        <v>96</v>
      </c>
      <c r="H1" s="15" t="s">
        <v>97</v>
      </c>
      <c r="I1" s="15" t="s">
        <v>467</v>
      </c>
    </row>
    <row r="2" spans="1:9" x14ac:dyDescent="0.25">
      <c r="A2" s="16" t="s">
        <v>98</v>
      </c>
      <c r="B2" s="16" t="s">
        <v>10</v>
      </c>
      <c r="C2" s="16" t="s">
        <v>99</v>
      </c>
      <c r="D2" s="17" t="s">
        <v>100</v>
      </c>
      <c r="E2" s="17" t="s">
        <v>101</v>
      </c>
      <c r="F2" s="18">
        <v>484.5</v>
      </c>
      <c r="G2" s="18">
        <f>SUM(F2:F6)</f>
        <v>10230.9375</v>
      </c>
      <c r="H2" s="18">
        <f>(G2/$F$32)*100</f>
        <v>1.8865623942254002</v>
      </c>
    </row>
    <row r="3" spans="1:9" x14ac:dyDescent="0.25">
      <c r="A3" s="16"/>
      <c r="B3" s="16"/>
      <c r="C3" s="16"/>
      <c r="D3" s="16" t="s">
        <v>100</v>
      </c>
      <c r="E3" s="16" t="s">
        <v>102</v>
      </c>
      <c r="F3" s="19">
        <v>555.4375</v>
      </c>
      <c r="G3" s="19"/>
      <c r="H3" s="19"/>
    </row>
    <row r="4" spans="1:9" x14ac:dyDescent="0.25">
      <c r="A4" s="16"/>
      <c r="B4" s="16"/>
      <c r="C4" s="16"/>
      <c r="D4" s="16" t="s">
        <v>100</v>
      </c>
      <c r="E4" s="16" t="s">
        <v>103</v>
      </c>
      <c r="F4" s="19">
        <v>6711.25</v>
      </c>
      <c r="G4" s="19"/>
      <c r="H4" s="19"/>
    </row>
    <row r="5" spans="1:9" x14ac:dyDescent="0.25">
      <c r="A5" s="16"/>
      <c r="B5" s="16"/>
      <c r="C5" s="16"/>
      <c r="D5" s="16" t="s">
        <v>100</v>
      </c>
      <c r="E5" s="16" t="s">
        <v>104</v>
      </c>
      <c r="F5" s="19">
        <v>2379</v>
      </c>
      <c r="G5" s="19"/>
      <c r="H5" s="19"/>
    </row>
    <row r="6" spans="1:9" x14ac:dyDescent="0.25">
      <c r="A6" s="16"/>
      <c r="B6" s="16"/>
      <c r="C6" s="16"/>
      <c r="D6" s="20" t="s">
        <v>100</v>
      </c>
      <c r="E6" s="20" t="s">
        <v>105</v>
      </c>
      <c r="F6" s="21">
        <v>100.75</v>
      </c>
      <c r="G6" s="21"/>
      <c r="H6" s="21"/>
    </row>
    <row r="7" spans="1:9" x14ac:dyDescent="0.25">
      <c r="A7" s="16"/>
      <c r="B7" s="16"/>
      <c r="C7" s="16"/>
      <c r="D7" s="17" t="s">
        <v>106</v>
      </c>
      <c r="E7" s="17" t="s">
        <v>107</v>
      </c>
      <c r="F7" s="18">
        <v>15208.163704674658</v>
      </c>
      <c r="G7" s="18">
        <f>SUM(F7:F10)</f>
        <v>26197.416354229455</v>
      </c>
      <c r="H7" s="18">
        <f>(G7/$F$32)*100</f>
        <v>4.8307460112775367</v>
      </c>
    </row>
    <row r="8" spans="1:9" x14ac:dyDescent="0.25">
      <c r="A8" s="16"/>
      <c r="B8" s="16"/>
      <c r="C8" s="16"/>
      <c r="D8" s="16" t="s">
        <v>106</v>
      </c>
      <c r="E8" s="16" t="s">
        <v>108</v>
      </c>
      <c r="F8" s="19">
        <v>10296.752649554795</v>
      </c>
      <c r="G8" s="19"/>
      <c r="H8" s="19"/>
    </row>
    <row r="9" spans="1:9" x14ac:dyDescent="0.25">
      <c r="A9" s="16"/>
      <c r="B9" s="16"/>
      <c r="C9" s="16"/>
      <c r="D9" s="16" t="s">
        <v>106</v>
      </c>
      <c r="E9" s="16" t="s">
        <v>109</v>
      </c>
      <c r="F9" s="19">
        <v>0</v>
      </c>
      <c r="G9" s="19"/>
      <c r="H9" s="19"/>
    </row>
    <row r="10" spans="1:9" x14ac:dyDescent="0.25">
      <c r="A10" s="16"/>
      <c r="B10" s="16"/>
      <c r="C10" s="16"/>
      <c r="D10" s="20" t="s">
        <v>106</v>
      </c>
      <c r="E10" s="20" t="s">
        <v>110</v>
      </c>
      <c r="F10" s="21">
        <v>692.5</v>
      </c>
      <c r="G10" s="21"/>
      <c r="H10" s="21"/>
    </row>
    <row r="11" spans="1:9" x14ac:dyDescent="0.25">
      <c r="A11" s="16"/>
      <c r="B11" s="16"/>
      <c r="C11" s="16"/>
      <c r="D11" s="17" t="s">
        <v>111</v>
      </c>
      <c r="E11" s="17" t="s">
        <v>112</v>
      </c>
      <c r="F11" s="18">
        <v>5072</v>
      </c>
      <c r="G11" s="18">
        <f>SUM(F11:F16)</f>
        <v>63932.726404109599</v>
      </c>
      <c r="H11" s="18">
        <f>(G11/$F$32)*100</f>
        <v>11.789054267440736</v>
      </c>
    </row>
    <row r="12" spans="1:9" x14ac:dyDescent="0.25">
      <c r="A12" s="16"/>
      <c r="B12" s="16"/>
      <c r="C12" s="16"/>
      <c r="D12" s="16" t="s">
        <v>111</v>
      </c>
      <c r="E12" s="16" t="s">
        <v>113</v>
      </c>
      <c r="F12" s="19">
        <v>11952.155000000001</v>
      </c>
      <c r="G12" s="19"/>
      <c r="H12" s="19"/>
    </row>
    <row r="13" spans="1:9" x14ac:dyDescent="0.25">
      <c r="A13" s="16"/>
      <c r="B13" s="16"/>
      <c r="C13" s="16"/>
      <c r="D13" s="16" t="s">
        <v>111</v>
      </c>
      <c r="E13" s="16" t="s">
        <v>114</v>
      </c>
      <c r="F13" s="19">
        <v>43125.5089041096</v>
      </c>
      <c r="G13" s="19"/>
      <c r="H13" s="19"/>
    </row>
    <row r="14" spans="1:9" x14ac:dyDescent="0.25">
      <c r="A14" s="16"/>
      <c r="B14" s="16"/>
      <c r="C14" s="16"/>
      <c r="D14" s="16" t="s">
        <v>111</v>
      </c>
      <c r="E14" s="16" t="s">
        <v>115</v>
      </c>
      <c r="F14" s="19">
        <v>1084</v>
      </c>
      <c r="G14" s="19"/>
      <c r="H14" s="19"/>
    </row>
    <row r="15" spans="1:9" x14ac:dyDescent="0.25">
      <c r="A15" s="16"/>
      <c r="B15" s="16"/>
      <c r="C15" s="16"/>
      <c r="D15" s="16" t="s">
        <v>111</v>
      </c>
      <c r="E15" s="16" t="s">
        <v>116</v>
      </c>
      <c r="F15" s="19">
        <v>2699.0625</v>
      </c>
      <c r="G15" s="19"/>
      <c r="H15" s="19"/>
    </row>
    <row r="16" spans="1:9" x14ac:dyDescent="0.25">
      <c r="A16" s="16"/>
      <c r="B16" s="16"/>
      <c r="C16" s="16"/>
      <c r="D16" s="20" t="s">
        <v>111</v>
      </c>
      <c r="E16" s="20" t="s">
        <v>117</v>
      </c>
      <c r="F16" s="21">
        <v>0</v>
      </c>
      <c r="G16" s="21"/>
      <c r="H16" s="21"/>
    </row>
    <row r="17" spans="1:9" x14ac:dyDescent="0.25">
      <c r="A17" s="16"/>
      <c r="B17" s="16"/>
      <c r="C17" s="16"/>
      <c r="D17" s="17" t="s">
        <v>118</v>
      </c>
      <c r="E17" s="17" t="s">
        <v>119</v>
      </c>
      <c r="F17" s="18">
        <v>1079.25</v>
      </c>
      <c r="G17" s="18">
        <f>SUM(F17:F20)</f>
        <v>1079.25</v>
      </c>
      <c r="H17" s="22">
        <f>(G17/$F$32)*100</f>
        <v>0.19901132852856965</v>
      </c>
    </row>
    <row r="18" spans="1:9" x14ac:dyDescent="0.25">
      <c r="A18" s="16"/>
      <c r="B18" s="16"/>
      <c r="C18" s="16"/>
      <c r="D18" s="16" t="s">
        <v>118</v>
      </c>
      <c r="E18" s="16" t="s">
        <v>120</v>
      </c>
      <c r="F18" s="19">
        <v>0</v>
      </c>
      <c r="G18" s="19"/>
      <c r="H18" s="19"/>
    </row>
    <row r="19" spans="1:9" x14ac:dyDescent="0.25">
      <c r="A19" s="16"/>
      <c r="B19" s="16"/>
      <c r="C19" s="16"/>
      <c r="D19" s="16" t="s">
        <v>118</v>
      </c>
      <c r="E19" s="16" t="s">
        <v>121</v>
      </c>
      <c r="F19" s="19">
        <v>0</v>
      </c>
      <c r="G19" s="19"/>
      <c r="H19" s="19"/>
    </row>
    <row r="20" spans="1:9" x14ac:dyDescent="0.25">
      <c r="A20" s="16"/>
      <c r="B20" s="16"/>
      <c r="C20" s="16"/>
      <c r="D20" s="20" t="s">
        <v>118</v>
      </c>
      <c r="E20" s="20" t="s">
        <v>122</v>
      </c>
      <c r="F20" s="21">
        <v>0</v>
      </c>
      <c r="G20" s="21"/>
      <c r="H20" s="21"/>
    </row>
    <row r="21" spans="1:9" x14ac:dyDescent="0.25">
      <c r="A21" s="16"/>
      <c r="B21" s="16"/>
      <c r="C21" s="16"/>
      <c r="D21" s="17" t="s">
        <v>123</v>
      </c>
      <c r="E21" s="17" t="s">
        <v>124</v>
      </c>
      <c r="F21" s="18">
        <v>279341.60958904115</v>
      </c>
      <c r="G21" s="18">
        <f>SUM(F21:F31)</f>
        <v>440865.48116438364</v>
      </c>
      <c r="H21" s="18">
        <f>(G21/$F$32)*100</f>
        <v>81.294625998527763</v>
      </c>
    </row>
    <row r="22" spans="1:9" x14ac:dyDescent="0.25">
      <c r="A22" s="16"/>
      <c r="B22" s="16"/>
      <c r="C22" s="16"/>
      <c r="D22" s="16" t="s">
        <v>123</v>
      </c>
      <c r="E22" s="16" t="s">
        <v>125</v>
      </c>
      <c r="F22" s="19">
        <v>16760.496575342469</v>
      </c>
      <c r="G22" s="19"/>
      <c r="H22" s="19"/>
    </row>
    <row r="23" spans="1:9" x14ac:dyDescent="0.25">
      <c r="A23" s="16"/>
      <c r="B23" s="16"/>
      <c r="C23" s="16"/>
      <c r="D23" s="16" t="s">
        <v>123</v>
      </c>
      <c r="E23" s="16" t="s">
        <v>126</v>
      </c>
      <c r="F23" s="19">
        <v>41640</v>
      </c>
      <c r="G23" s="19"/>
      <c r="H23" s="19"/>
    </row>
    <row r="24" spans="1:9" x14ac:dyDescent="0.25">
      <c r="A24" s="16"/>
      <c r="B24" s="16"/>
      <c r="C24" s="16"/>
      <c r="D24" s="16" t="s">
        <v>123</v>
      </c>
      <c r="E24" s="16" t="s">
        <v>127</v>
      </c>
      <c r="F24" s="19">
        <v>0</v>
      </c>
      <c r="G24" s="19"/>
      <c r="H24" s="19"/>
    </row>
    <row r="25" spans="1:9" x14ac:dyDescent="0.25">
      <c r="A25" s="16"/>
      <c r="B25" s="16"/>
      <c r="C25" s="16"/>
      <c r="D25" s="16" t="s">
        <v>123</v>
      </c>
      <c r="E25" s="16" t="s">
        <v>128</v>
      </c>
      <c r="F25" s="19">
        <v>71822.5</v>
      </c>
      <c r="G25" s="19"/>
      <c r="H25" s="19"/>
    </row>
    <row r="26" spans="1:9" x14ac:dyDescent="0.25">
      <c r="A26" s="16"/>
      <c r="B26" s="16"/>
      <c r="C26" s="16"/>
      <c r="D26" s="16" t="s">
        <v>123</v>
      </c>
      <c r="E26" s="16" t="s">
        <v>129</v>
      </c>
      <c r="F26" s="19">
        <v>8745</v>
      </c>
      <c r="G26" s="19"/>
      <c r="H26" s="19"/>
    </row>
    <row r="27" spans="1:9" x14ac:dyDescent="0.25">
      <c r="A27" s="16"/>
      <c r="B27" s="16"/>
      <c r="C27" s="16"/>
      <c r="D27" s="16" t="s">
        <v>123</v>
      </c>
      <c r="E27" s="16" t="s">
        <v>130</v>
      </c>
      <c r="F27" s="19">
        <v>5605</v>
      </c>
      <c r="G27" s="19"/>
      <c r="H27" s="19"/>
    </row>
    <row r="28" spans="1:9" x14ac:dyDescent="0.25">
      <c r="A28" s="16"/>
      <c r="B28" s="16"/>
      <c r="C28" s="16"/>
      <c r="D28" s="16" t="s">
        <v>123</v>
      </c>
      <c r="E28" s="16" t="s">
        <v>131</v>
      </c>
      <c r="F28" s="19">
        <v>6875</v>
      </c>
      <c r="G28" s="19"/>
      <c r="H28" s="19"/>
    </row>
    <row r="29" spans="1:9" x14ac:dyDescent="0.25">
      <c r="A29" s="16"/>
      <c r="B29" s="16"/>
      <c r="C29" s="16"/>
      <c r="D29" s="16" t="s">
        <v>123</v>
      </c>
      <c r="E29" s="16" t="s">
        <v>132</v>
      </c>
      <c r="F29" s="19">
        <v>0</v>
      </c>
      <c r="G29" s="19"/>
      <c r="H29" s="19"/>
    </row>
    <row r="30" spans="1:9" x14ac:dyDescent="0.25">
      <c r="A30" s="16"/>
      <c r="B30" s="16"/>
      <c r="C30" s="16"/>
      <c r="D30" s="16" t="s">
        <v>123</v>
      </c>
      <c r="E30" s="16" t="s">
        <v>133</v>
      </c>
      <c r="F30" s="19">
        <v>3077</v>
      </c>
      <c r="G30" s="19"/>
      <c r="H30" s="19"/>
    </row>
    <row r="31" spans="1:9" x14ac:dyDescent="0.25">
      <c r="A31" s="16"/>
      <c r="B31" s="16"/>
      <c r="C31" s="16"/>
      <c r="D31" s="20" t="s">
        <v>123</v>
      </c>
      <c r="E31" s="20" t="s">
        <v>134</v>
      </c>
      <c r="F31" s="21">
        <v>6998.875</v>
      </c>
      <c r="G31" s="21"/>
      <c r="H31" s="21"/>
    </row>
    <row r="32" spans="1:9" x14ac:dyDescent="0.25">
      <c r="A32" s="16"/>
      <c r="B32" s="16"/>
      <c r="C32" s="16"/>
      <c r="D32" s="14" t="s">
        <v>135</v>
      </c>
      <c r="E32" s="17"/>
      <c r="F32" s="23">
        <f>SUM(F2:F31)</f>
        <v>542305.81142272265</v>
      </c>
      <c r="G32" s="18"/>
      <c r="H32" s="18"/>
      <c r="I32" s="40">
        <f>F32*0.7</f>
        <v>379614.06799590582</v>
      </c>
    </row>
    <row r="33" spans="1:9" x14ac:dyDescent="0.25">
      <c r="A33" s="16"/>
      <c r="B33" s="16"/>
      <c r="C33" s="16"/>
      <c r="D33" s="15" t="s">
        <v>136</v>
      </c>
      <c r="E33" s="16"/>
      <c r="F33" s="24">
        <v>652542</v>
      </c>
      <c r="G33" s="19"/>
      <c r="H33" s="19"/>
      <c r="I33" s="41">
        <f>F33</f>
        <v>652542</v>
      </c>
    </row>
    <row r="34" spans="1:9" x14ac:dyDescent="0.25">
      <c r="A34" s="16"/>
      <c r="B34" s="16"/>
      <c r="C34" s="16"/>
      <c r="D34" s="25" t="s">
        <v>137</v>
      </c>
      <c r="E34" s="20"/>
      <c r="F34" s="26">
        <f>F32/F33</f>
        <v>0.83106652356893906</v>
      </c>
      <c r="G34" s="21"/>
      <c r="H34" s="21"/>
      <c r="I34" s="42">
        <f>I32/I33</f>
        <v>0.58174656649825729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79D7-0DEF-497E-80F3-48F75BB95332}">
  <dimension ref="A1:L331"/>
  <sheetViews>
    <sheetView topLeftCell="B1" workbookViewId="0">
      <pane ySplit="1" topLeftCell="A314" activePane="bottomLeft" state="frozen"/>
      <selection pane="bottomLeft" activeCell="L332" sqref="L332"/>
    </sheetView>
  </sheetViews>
  <sheetFormatPr defaultRowHeight="15" x14ac:dyDescent="0.25"/>
  <cols>
    <col min="1" max="1" width="12.5703125" bestFit="1" customWidth="1"/>
    <col min="2" max="2" width="19.42578125" customWidth="1"/>
    <col min="3" max="3" width="19.28515625" bestFit="1" customWidth="1"/>
    <col min="4" max="4" width="28.7109375" customWidth="1"/>
    <col min="5" max="5" width="54.140625" customWidth="1"/>
    <col min="6" max="6" width="8.42578125" bestFit="1" customWidth="1"/>
    <col min="7" max="7" width="41.28515625" customWidth="1"/>
    <col min="8" max="8" width="11.28515625" customWidth="1"/>
    <col min="9" max="9" width="15.140625" customWidth="1"/>
    <col min="10" max="10" width="16.85546875" bestFit="1" customWidth="1"/>
    <col min="11" max="11" width="12.5703125" bestFit="1" customWidth="1"/>
    <col min="12" max="12" width="14" bestFit="1" customWidth="1"/>
  </cols>
  <sheetData>
    <row r="1" spans="1:12" ht="46.5" customHeight="1" x14ac:dyDescent="0.25">
      <c r="A1" s="3" t="s">
        <v>90</v>
      </c>
      <c r="B1" s="3" t="s">
        <v>91</v>
      </c>
      <c r="C1" s="3" t="s">
        <v>92</v>
      </c>
      <c r="D1" s="3" t="s">
        <v>93</v>
      </c>
      <c r="E1" s="3" t="s">
        <v>138</v>
      </c>
      <c r="F1" s="11" t="s">
        <v>139</v>
      </c>
      <c r="G1" s="3" t="s">
        <v>94</v>
      </c>
      <c r="H1" s="3" t="s">
        <v>140</v>
      </c>
      <c r="I1" s="3" t="s">
        <v>95</v>
      </c>
      <c r="J1" s="3" t="s">
        <v>96</v>
      </c>
      <c r="K1" s="3" t="s">
        <v>97</v>
      </c>
      <c r="L1" s="1" t="s">
        <v>467</v>
      </c>
    </row>
    <row r="2" spans="1:12" x14ac:dyDescent="0.25">
      <c r="A2" s="5" t="s">
        <v>141</v>
      </c>
      <c r="B2" s="5" t="s">
        <v>15</v>
      </c>
      <c r="C2" s="5" t="s">
        <v>142</v>
      </c>
      <c r="D2" s="5" t="s">
        <v>143</v>
      </c>
      <c r="E2" s="5" t="s">
        <v>144</v>
      </c>
      <c r="F2" s="5">
        <v>51</v>
      </c>
      <c r="G2" s="5" t="s">
        <v>145</v>
      </c>
      <c r="H2" s="8">
        <v>1.25</v>
      </c>
      <c r="I2" s="8">
        <f>H2*2*(SUM(F2:F6))*F7</f>
        <v>1890</v>
      </c>
      <c r="J2" s="6">
        <f>SUM(I2:I16)</f>
        <v>16660.625</v>
      </c>
      <c r="K2" s="8">
        <f>(J2/$I$329)*100</f>
        <v>3.2619014940005906</v>
      </c>
    </row>
    <row r="3" spans="1:12" x14ac:dyDescent="0.25">
      <c r="D3" t="s">
        <v>143</v>
      </c>
      <c r="E3" t="s">
        <v>146</v>
      </c>
      <c r="F3">
        <v>92</v>
      </c>
      <c r="G3" t="s">
        <v>147</v>
      </c>
      <c r="H3" s="27">
        <v>2.8125</v>
      </c>
      <c r="I3" s="27">
        <f>H3*SUM(F2:F6)*F7</f>
        <v>2126.25</v>
      </c>
    </row>
    <row r="4" spans="1:12" x14ac:dyDescent="0.25">
      <c r="D4" t="s">
        <v>143</v>
      </c>
      <c r="E4" t="s">
        <v>148</v>
      </c>
      <c r="F4">
        <v>16</v>
      </c>
      <c r="G4" t="s">
        <v>149</v>
      </c>
      <c r="H4" s="27">
        <v>137.5</v>
      </c>
      <c r="I4" s="27">
        <f>H4*4*(F7/2)+H4*2*(F7/2)</f>
        <v>1650</v>
      </c>
    </row>
    <row r="5" spans="1:12" x14ac:dyDescent="0.25">
      <c r="D5" t="s">
        <v>143</v>
      </c>
      <c r="E5" t="s">
        <v>150</v>
      </c>
      <c r="F5">
        <v>26</v>
      </c>
      <c r="G5" t="s">
        <v>151</v>
      </c>
      <c r="H5" s="27">
        <v>75</v>
      </c>
      <c r="I5" s="27">
        <f>((H5*(F7/2)*2))</f>
        <v>300</v>
      </c>
    </row>
    <row r="6" spans="1:12" x14ac:dyDescent="0.25">
      <c r="D6" t="s">
        <v>143</v>
      </c>
      <c r="E6" t="s">
        <v>152</v>
      </c>
      <c r="F6">
        <v>4</v>
      </c>
      <c r="G6" t="s">
        <v>153</v>
      </c>
      <c r="H6" s="27">
        <v>0</v>
      </c>
      <c r="I6" s="27"/>
    </row>
    <row r="7" spans="1:12" x14ac:dyDescent="0.25">
      <c r="D7" t="s">
        <v>143</v>
      </c>
      <c r="E7" t="s">
        <v>154</v>
      </c>
      <c r="F7">
        <v>4</v>
      </c>
      <c r="G7" t="s">
        <v>155</v>
      </c>
      <c r="H7" s="27">
        <v>12.5</v>
      </c>
      <c r="I7" s="27">
        <f>H7</f>
        <v>12.5</v>
      </c>
    </row>
    <row r="8" spans="1:12" x14ac:dyDescent="0.25">
      <c r="D8" t="s">
        <v>143</v>
      </c>
      <c r="G8" t="s">
        <v>156</v>
      </c>
      <c r="H8" s="27">
        <v>3.125</v>
      </c>
      <c r="I8" s="27">
        <f>H8*SUM(F2:F3)</f>
        <v>446.875</v>
      </c>
    </row>
    <row r="9" spans="1:12" x14ac:dyDescent="0.25">
      <c r="D9" t="s">
        <v>143</v>
      </c>
      <c r="G9" t="s">
        <v>157</v>
      </c>
      <c r="H9" s="27">
        <v>3.125</v>
      </c>
      <c r="I9" s="27">
        <f>H9*F6*F7</f>
        <v>50</v>
      </c>
    </row>
    <row r="10" spans="1:12" x14ac:dyDescent="0.25">
      <c r="D10" t="s">
        <v>143</v>
      </c>
      <c r="G10" t="s">
        <v>158</v>
      </c>
      <c r="H10" s="27">
        <v>13.125</v>
      </c>
      <c r="I10" s="27">
        <f>H10*SUM(F2:F3)</f>
        <v>1876.875</v>
      </c>
    </row>
    <row r="11" spans="1:12" x14ac:dyDescent="0.25">
      <c r="D11" t="s">
        <v>143</v>
      </c>
      <c r="G11" t="s">
        <v>159</v>
      </c>
      <c r="H11" s="27">
        <v>10.3125</v>
      </c>
      <c r="I11" s="27">
        <f>H11*SUM(F2:F3)*F7</f>
        <v>5898.75</v>
      </c>
    </row>
    <row r="12" spans="1:12" x14ac:dyDescent="0.25">
      <c r="D12" t="s">
        <v>143</v>
      </c>
      <c r="G12" t="s">
        <v>160</v>
      </c>
      <c r="H12" s="27">
        <v>3.125</v>
      </c>
      <c r="I12" s="27">
        <f>H12*F4</f>
        <v>50</v>
      </c>
    </row>
    <row r="13" spans="1:12" x14ac:dyDescent="0.25">
      <c r="D13" t="s">
        <v>143</v>
      </c>
      <c r="G13" t="s">
        <v>161</v>
      </c>
      <c r="H13" s="27">
        <v>3.125</v>
      </c>
      <c r="I13" s="27">
        <f>H13*F6*F7</f>
        <v>50</v>
      </c>
    </row>
    <row r="14" spans="1:12" x14ac:dyDescent="0.25">
      <c r="D14" t="s">
        <v>143</v>
      </c>
      <c r="G14" t="s">
        <v>162</v>
      </c>
      <c r="H14" s="27">
        <v>9.375</v>
      </c>
      <c r="I14" s="27">
        <f>H14*F4*F7</f>
        <v>600</v>
      </c>
    </row>
    <row r="15" spans="1:12" x14ac:dyDescent="0.25">
      <c r="D15" t="s">
        <v>143</v>
      </c>
      <c r="G15" t="s">
        <v>163</v>
      </c>
      <c r="H15" s="27">
        <v>25.3125</v>
      </c>
      <c r="I15" s="27">
        <f>H15*F4*F7</f>
        <v>1620</v>
      </c>
    </row>
    <row r="16" spans="1:12" x14ac:dyDescent="0.25">
      <c r="A16" s="7"/>
      <c r="B16" s="7"/>
      <c r="C16" s="7"/>
      <c r="D16" s="7" t="s">
        <v>143</v>
      </c>
      <c r="E16" s="7"/>
      <c r="F16" s="7"/>
      <c r="G16" s="7" t="s">
        <v>164</v>
      </c>
      <c r="H16" s="28">
        <v>0.625</v>
      </c>
      <c r="I16" s="28">
        <f>H16*SUM(F2:F3)</f>
        <v>89.375</v>
      </c>
      <c r="J16" s="7"/>
      <c r="K16" s="7"/>
    </row>
    <row r="17" spans="1:11" x14ac:dyDescent="0.25">
      <c r="A17" s="5"/>
      <c r="B17" s="5"/>
      <c r="C17" s="5"/>
      <c r="D17" s="5" t="s">
        <v>165</v>
      </c>
      <c r="E17" s="5" t="s">
        <v>166</v>
      </c>
      <c r="F17" s="5">
        <v>23</v>
      </c>
      <c r="G17" s="5" t="s">
        <v>167</v>
      </c>
      <c r="H17" s="8">
        <v>1.25</v>
      </c>
      <c r="I17" s="8">
        <v>75</v>
      </c>
      <c r="J17" s="8">
        <f>SUM(I17:I20)</f>
        <v>306.25</v>
      </c>
      <c r="K17" s="8">
        <f>(J17/$I$329)*100</f>
        <v>5.9959175153253913E-2</v>
      </c>
    </row>
    <row r="18" spans="1:11" x14ac:dyDescent="0.25">
      <c r="D18" t="s">
        <v>165</v>
      </c>
      <c r="E18" t="s">
        <v>168</v>
      </c>
      <c r="F18">
        <v>4</v>
      </c>
      <c r="G18" t="s">
        <v>147</v>
      </c>
      <c r="H18" s="27">
        <v>2.8125</v>
      </c>
      <c r="I18" s="27">
        <v>84.375</v>
      </c>
    </row>
    <row r="19" spans="1:11" x14ac:dyDescent="0.25">
      <c r="D19" t="s">
        <v>165</v>
      </c>
      <c r="E19" t="s">
        <v>169</v>
      </c>
      <c r="F19">
        <v>3</v>
      </c>
      <c r="G19" t="s">
        <v>170</v>
      </c>
      <c r="H19" s="27">
        <v>75</v>
      </c>
      <c r="I19" s="27">
        <v>75</v>
      </c>
    </row>
    <row r="20" spans="1:11" x14ac:dyDescent="0.25">
      <c r="A20" s="7"/>
      <c r="B20" s="7"/>
      <c r="C20" s="7"/>
      <c r="D20" s="7" t="s">
        <v>165</v>
      </c>
      <c r="E20" s="7" t="s">
        <v>154</v>
      </c>
      <c r="F20" s="7">
        <v>1</v>
      </c>
      <c r="G20" s="7" t="s">
        <v>171</v>
      </c>
      <c r="H20" s="28">
        <v>3.125</v>
      </c>
      <c r="I20" s="28">
        <v>71.875</v>
      </c>
      <c r="J20" s="7"/>
      <c r="K20" s="7"/>
    </row>
    <row r="21" spans="1:11" x14ac:dyDescent="0.25">
      <c r="A21" s="5"/>
      <c r="B21" s="5"/>
      <c r="C21" s="5"/>
      <c r="D21" s="5" t="s">
        <v>172</v>
      </c>
      <c r="E21" s="5" t="s">
        <v>173</v>
      </c>
      <c r="F21" s="5">
        <v>135</v>
      </c>
      <c r="G21" s="5" t="s">
        <v>167</v>
      </c>
      <c r="H21" s="8">
        <v>1.25</v>
      </c>
      <c r="I21" s="8">
        <v>822.5</v>
      </c>
      <c r="J21" s="29">
        <f>SUM(I21:I28)</f>
        <v>3875.3125</v>
      </c>
      <c r="K21" s="8">
        <f>(J21/$I$329)*100</f>
        <v>0.75872829701581823</v>
      </c>
    </row>
    <row r="22" spans="1:11" x14ac:dyDescent="0.25">
      <c r="D22" t="s">
        <v>172</v>
      </c>
      <c r="E22" t="s">
        <v>166</v>
      </c>
      <c r="F22">
        <v>23</v>
      </c>
      <c r="G22" t="s">
        <v>147</v>
      </c>
      <c r="H22" s="27">
        <v>2.8125</v>
      </c>
      <c r="I22" s="27">
        <v>925.3125</v>
      </c>
    </row>
    <row r="23" spans="1:11" x14ac:dyDescent="0.25">
      <c r="D23" t="s">
        <v>172</v>
      </c>
      <c r="E23" t="s">
        <v>174</v>
      </c>
      <c r="F23">
        <v>3</v>
      </c>
      <c r="G23" t="s">
        <v>175</v>
      </c>
      <c r="H23" s="27">
        <v>137.5</v>
      </c>
      <c r="I23" s="27">
        <v>825</v>
      </c>
    </row>
    <row r="24" spans="1:11" x14ac:dyDescent="0.25">
      <c r="D24" t="s">
        <v>172</v>
      </c>
      <c r="E24" t="s">
        <v>176</v>
      </c>
      <c r="F24">
        <v>2</v>
      </c>
      <c r="G24" t="s">
        <v>177</v>
      </c>
      <c r="H24" s="27">
        <v>25.3125</v>
      </c>
      <c r="I24" s="27">
        <v>202.5</v>
      </c>
    </row>
    <row r="25" spans="1:11" x14ac:dyDescent="0.25">
      <c r="D25" t="s">
        <v>172</v>
      </c>
      <c r="E25" t="s">
        <v>178</v>
      </c>
      <c r="F25">
        <v>10</v>
      </c>
      <c r="G25" t="s">
        <v>171</v>
      </c>
      <c r="H25" s="27">
        <v>3.125</v>
      </c>
      <c r="I25" s="27">
        <v>915.625</v>
      </c>
    </row>
    <row r="26" spans="1:11" x14ac:dyDescent="0.25">
      <c r="D26" t="s">
        <v>172</v>
      </c>
      <c r="E26" t="s">
        <v>154</v>
      </c>
      <c r="F26">
        <v>8</v>
      </c>
      <c r="G26" t="s">
        <v>179</v>
      </c>
      <c r="H26" s="27">
        <v>9.375</v>
      </c>
      <c r="I26" s="27">
        <v>75</v>
      </c>
    </row>
    <row r="27" spans="1:11" x14ac:dyDescent="0.25">
      <c r="D27" t="s">
        <v>172</v>
      </c>
      <c r="G27" t="s">
        <v>180</v>
      </c>
      <c r="H27" s="27">
        <v>3.125</v>
      </c>
      <c r="I27" s="27">
        <v>25</v>
      </c>
    </row>
    <row r="28" spans="1:11" x14ac:dyDescent="0.25">
      <c r="A28" s="7"/>
      <c r="B28" s="7"/>
      <c r="C28" s="7"/>
      <c r="D28" s="7" t="s">
        <v>172</v>
      </c>
      <c r="E28" s="7"/>
      <c r="F28" s="7"/>
      <c r="G28" s="7" t="s">
        <v>164</v>
      </c>
      <c r="H28" s="28">
        <v>0.625</v>
      </c>
      <c r="I28" s="28">
        <v>84.375</v>
      </c>
      <c r="J28" s="7"/>
      <c r="K28" s="7"/>
    </row>
    <row r="29" spans="1:11" x14ac:dyDescent="0.25">
      <c r="A29" s="5"/>
      <c r="B29" s="5"/>
      <c r="C29" s="5"/>
      <c r="D29" s="5" t="s">
        <v>181</v>
      </c>
      <c r="E29" s="5" t="s">
        <v>173</v>
      </c>
      <c r="F29" s="5">
        <v>135</v>
      </c>
      <c r="G29" s="5" t="s">
        <v>167</v>
      </c>
      <c r="H29" s="8">
        <v>1.25</v>
      </c>
      <c r="I29" s="8">
        <v>372.5</v>
      </c>
      <c r="J29" s="29">
        <f>SUM(I29:I35)</f>
        <v>1715.3125</v>
      </c>
      <c r="K29" s="8">
        <f>(J29/$I$329)*100</f>
        <v>0.33583256369001097</v>
      </c>
    </row>
    <row r="30" spans="1:11" x14ac:dyDescent="0.25">
      <c r="D30" t="s">
        <v>181</v>
      </c>
      <c r="E30" t="s">
        <v>182</v>
      </c>
      <c r="F30">
        <v>2</v>
      </c>
      <c r="G30" t="s">
        <v>147</v>
      </c>
      <c r="H30" s="27">
        <v>2.8125</v>
      </c>
      <c r="I30" s="27">
        <v>419.0625</v>
      </c>
    </row>
    <row r="31" spans="1:11" x14ac:dyDescent="0.25">
      <c r="D31" t="s">
        <v>181</v>
      </c>
      <c r="E31" t="s">
        <v>183</v>
      </c>
      <c r="F31">
        <v>6</v>
      </c>
      <c r="G31" t="s">
        <v>184</v>
      </c>
      <c r="H31" s="27">
        <v>137.5</v>
      </c>
      <c r="I31" s="27">
        <v>275</v>
      </c>
    </row>
    <row r="32" spans="1:11" x14ac:dyDescent="0.25">
      <c r="D32" t="s">
        <v>181</v>
      </c>
      <c r="E32" t="s">
        <v>185</v>
      </c>
      <c r="F32">
        <v>8</v>
      </c>
      <c r="G32" t="s">
        <v>177</v>
      </c>
      <c r="H32" s="27">
        <v>25.3125</v>
      </c>
      <c r="I32" s="27">
        <v>151.875</v>
      </c>
    </row>
    <row r="33" spans="1:11" x14ac:dyDescent="0.25">
      <c r="D33" t="s">
        <v>181</v>
      </c>
      <c r="E33" t="s">
        <v>154</v>
      </c>
      <c r="F33">
        <v>1</v>
      </c>
      <c r="G33" t="s">
        <v>171</v>
      </c>
      <c r="H33" s="27">
        <v>3.125</v>
      </c>
      <c r="I33" s="27">
        <v>421.875</v>
      </c>
    </row>
    <row r="34" spans="1:11" x14ac:dyDescent="0.25">
      <c r="D34" t="s">
        <v>181</v>
      </c>
      <c r="G34" t="s">
        <v>180</v>
      </c>
      <c r="H34" s="27">
        <v>3.125</v>
      </c>
      <c r="I34" s="27">
        <v>18.75</v>
      </c>
    </row>
    <row r="35" spans="1:11" x14ac:dyDescent="0.25">
      <c r="A35" s="7"/>
      <c r="B35" s="7"/>
      <c r="C35" s="7"/>
      <c r="D35" s="7" t="s">
        <v>181</v>
      </c>
      <c r="E35" s="7"/>
      <c r="F35" s="7"/>
      <c r="G35" s="7" t="s">
        <v>179</v>
      </c>
      <c r="H35" s="28">
        <v>9.375</v>
      </c>
      <c r="I35" s="28">
        <v>56.25</v>
      </c>
      <c r="J35" s="7"/>
      <c r="K35" s="7"/>
    </row>
    <row r="36" spans="1:11" x14ac:dyDescent="0.25">
      <c r="A36" s="5"/>
      <c r="B36" s="5"/>
      <c r="C36" s="5"/>
      <c r="D36" s="5" t="s">
        <v>186</v>
      </c>
      <c r="E36" s="5" t="s">
        <v>187</v>
      </c>
      <c r="F36" s="5">
        <v>23</v>
      </c>
      <c r="G36" s="5" t="s">
        <v>167</v>
      </c>
      <c r="H36" s="8">
        <v>1.25</v>
      </c>
      <c r="I36" s="8">
        <v>72.5</v>
      </c>
      <c r="J36" s="8">
        <f>SUM(I36:I45)</f>
        <v>397.8125</v>
      </c>
      <c r="K36" s="8">
        <f>(J36/$I$329)*100</f>
        <v>7.7885744867441056E-2</v>
      </c>
    </row>
    <row r="37" spans="1:11" x14ac:dyDescent="0.25">
      <c r="D37" t="s">
        <v>186</v>
      </c>
      <c r="E37" t="s">
        <v>182</v>
      </c>
      <c r="F37">
        <v>1</v>
      </c>
      <c r="G37" t="s">
        <v>147</v>
      </c>
      <c r="H37" s="27">
        <v>2.8125</v>
      </c>
      <c r="I37" s="27">
        <v>81.5625</v>
      </c>
    </row>
    <row r="38" spans="1:11" x14ac:dyDescent="0.25">
      <c r="D38" t="s">
        <v>186</v>
      </c>
      <c r="E38" t="s">
        <v>188</v>
      </c>
      <c r="F38">
        <v>2</v>
      </c>
      <c r="G38" t="s">
        <v>170</v>
      </c>
      <c r="H38" s="27">
        <v>75</v>
      </c>
      <c r="I38" s="27">
        <v>75</v>
      </c>
    </row>
    <row r="39" spans="1:11" x14ac:dyDescent="0.25">
      <c r="D39" t="s">
        <v>186</v>
      </c>
      <c r="E39" t="s">
        <v>189</v>
      </c>
      <c r="F39">
        <v>4</v>
      </c>
      <c r="G39" t="s">
        <v>190</v>
      </c>
      <c r="H39" s="27">
        <v>3.125</v>
      </c>
      <c r="I39" s="27">
        <v>71.875</v>
      </c>
    </row>
    <row r="40" spans="1:11" x14ac:dyDescent="0.25">
      <c r="D40" t="s">
        <v>186</v>
      </c>
      <c r="E40" t="s">
        <v>154</v>
      </c>
      <c r="F40">
        <v>1</v>
      </c>
      <c r="G40" t="s">
        <v>191</v>
      </c>
      <c r="H40" s="27">
        <v>3.125</v>
      </c>
      <c r="I40" s="27">
        <v>6.25</v>
      </c>
    </row>
    <row r="41" spans="1:11" x14ac:dyDescent="0.25">
      <c r="D41" t="s">
        <v>186</v>
      </c>
      <c r="G41" t="s">
        <v>192</v>
      </c>
      <c r="H41" s="27">
        <v>3.125</v>
      </c>
      <c r="I41" s="27">
        <v>3.125</v>
      </c>
    </row>
    <row r="42" spans="1:11" x14ac:dyDescent="0.25">
      <c r="D42" t="s">
        <v>186</v>
      </c>
      <c r="G42" t="s">
        <v>177</v>
      </c>
      <c r="H42" s="27">
        <v>25.3125</v>
      </c>
      <c r="I42" s="27">
        <v>50.625</v>
      </c>
    </row>
    <row r="43" spans="1:11" x14ac:dyDescent="0.25">
      <c r="D43" t="s">
        <v>186</v>
      </c>
      <c r="G43" t="s">
        <v>193</v>
      </c>
      <c r="H43" s="27">
        <v>9.375</v>
      </c>
      <c r="I43" s="27">
        <v>18.75</v>
      </c>
    </row>
    <row r="44" spans="1:11" x14ac:dyDescent="0.25">
      <c r="D44" t="s">
        <v>186</v>
      </c>
      <c r="G44" t="s">
        <v>194</v>
      </c>
      <c r="H44" s="27">
        <v>3.75</v>
      </c>
      <c r="I44" s="27">
        <v>3.75</v>
      </c>
    </row>
    <row r="45" spans="1:11" x14ac:dyDescent="0.25">
      <c r="A45" s="7"/>
      <c r="B45" s="7"/>
      <c r="C45" s="7"/>
      <c r="D45" s="7" t="s">
        <v>186</v>
      </c>
      <c r="E45" s="7"/>
      <c r="F45" s="7"/>
      <c r="G45" s="7" t="s">
        <v>164</v>
      </c>
      <c r="H45" s="28">
        <v>0.625</v>
      </c>
      <c r="I45" s="28">
        <v>14.375</v>
      </c>
      <c r="J45" s="7"/>
      <c r="K45" s="7"/>
    </row>
    <row r="46" spans="1:11" x14ac:dyDescent="0.25">
      <c r="A46" s="5"/>
      <c r="B46" s="5"/>
      <c r="C46" s="5"/>
      <c r="D46" s="5" t="s">
        <v>195</v>
      </c>
      <c r="E46" s="5" t="s">
        <v>196</v>
      </c>
      <c r="F46" s="5">
        <v>92</v>
      </c>
      <c r="G46" s="5" t="s">
        <v>167</v>
      </c>
      <c r="H46" s="8">
        <v>1.25</v>
      </c>
      <c r="I46" s="8">
        <v>275</v>
      </c>
      <c r="J46" s="29">
        <f>SUM(I46:I54)</f>
        <v>1545</v>
      </c>
      <c r="K46" s="5"/>
    </row>
    <row r="47" spans="1:11" x14ac:dyDescent="0.25">
      <c r="D47" t="s">
        <v>195</v>
      </c>
      <c r="E47" t="s">
        <v>182</v>
      </c>
      <c r="F47">
        <v>3</v>
      </c>
      <c r="G47" t="s">
        <v>147</v>
      </c>
      <c r="H47" s="27">
        <v>2.8125</v>
      </c>
      <c r="I47" s="27">
        <v>309.375</v>
      </c>
    </row>
    <row r="48" spans="1:11" x14ac:dyDescent="0.25">
      <c r="D48" t="s">
        <v>195</v>
      </c>
      <c r="E48" t="s">
        <v>197</v>
      </c>
      <c r="F48">
        <v>10</v>
      </c>
      <c r="G48" t="s">
        <v>170</v>
      </c>
      <c r="H48" s="27">
        <v>75</v>
      </c>
      <c r="I48" s="27">
        <v>225</v>
      </c>
    </row>
    <row r="49" spans="1:11" x14ac:dyDescent="0.25">
      <c r="D49" t="s">
        <v>195</v>
      </c>
      <c r="E49" t="s">
        <v>198</v>
      </c>
      <c r="F49">
        <v>8</v>
      </c>
      <c r="G49" t="s">
        <v>190</v>
      </c>
      <c r="H49" s="27">
        <v>3.125</v>
      </c>
      <c r="I49" s="27">
        <v>287.5</v>
      </c>
    </row>
    <row r="50" spans="1:11" x14ac:dyDescent="0.25">
      <c r="D50" t="s">
        <v>195</v>
      </c>
      <c r="E50" t="s">
        <v>154</v>
      </c>
      <c r="F50">
        <v>1</v>
      </c>
      <c r="G50" t="s">
        <v>177</v>
      </c>
      <c r="H50" s="27">
        <v>25.3125</v>
      </c>
      <c r="I50" s="27">
        <v>253.125</v>
      </c>
    </row>
    <row r="51" spans="1:11" x14ac:dyDescent="0.25">
      <c r="D51" t="s">
        <v>195</v>
      </c>
      <c r="G51" t="s">
        <v>199</v>
      </c>
      <c r="H51" s="27">
        <v>12.5</v>
      </c>
      <c r="I51" s="27">
        <v>12.5</v>
      </c>
    </row>
    <row r="52" spans="1:11" x14ac:dyDescent="0.25">
      <c r="D52" t="s">
        <v>195</v>
      </c>
      <c r="G52" t="s">
        <v>191</v>
      </c>
      <c r="H52" s="27">
        <v>3.125</v>
      </c>
      <c r="I52" s="27">
        <v>31.25</v>
      </c>
    </row>
    <row r="53" spans="1:11" x14ac:dyDescent="0.25">
      <c r="D53" t="s">
        <v>195</v>
      </c>
      <c r="G53" t="s">
        <v>200</v>
      </c>
      <c r="H53" s="27">
        <v>9.375</v>
      </c>
      <c r="I53" s="27">
        <v>93.75</v>
      </c>
    </row>
    <row r="54" spans="1:11" x14ac:dyDescent="0.25">
      <c r="A54" s="7"/>
      <c r="B54" s="7"/>
      <c r="C54" s="7"/>
      <c r="D54" s="7" t="s">
        <v>195</v>
      </c>
      <c r="E54" s="7"/>
      <c r="F54" s="7"/>
      <c r="G54" s="7" t="s">
        <v>164</v>
      </c>
      <c r="H54" s="28">
        <v>0.625</v>
      </c>
      <c r="I54" s="28">
        <v>57.5</v>
      </c>
      <c r="J54" s="7"/>
      <c r="K54" s="7"/>
    </row>
    <row r="55" spans="1:11" x14ac:dyDescent="0.25">
      <c r="A55" s="5"/>
      <c r="B55" s="5"/>
      <c r="C55" s="5"/>
      <c r="D55" s="5" t="s">
        <v>201</v>
      </c>
      <c r="E55" s="5" t="s">
        <v>202</v>
      </c>
      <c r="F55" s="5">
        <v>30</v>
      </c>
      <c r="G55" s="5" t="s">
        <v>147</v>
      </c>
      <c r="H55" s="8">
        <v>2.8125</v>
      </c>
      <c r="I55" s="8">
        <v>115.3125</v>
      </c>
      <c r="J55" s="29">
        <f>SUM(I55:I62)</f>
        <v>571.25</v>
      </c>
      <c r="K55" s="8">
        <f>(J55/$I$329)*100</f>
        <v>0.11184221651035525</v>
      </c>
    </row>
    <row r="56" spans="1:11" x14ac:dyDescent="0.25">
      <c r="D56" t="s">
        <v>201</v>
      </c>
      <c r="E56" t="s">
        <v>203</v>
      </c>
      <c r="F56">
        <v>7</v>
      </c>
      <c r="G56" t="s">
        <v>204</v>
      </c>
      <c r="H56" s="27">
        <v>75</v>
      </c>
      <c r="I56" s="27">
        <v>75</v>
      </c>
    </row>
    <row r="57" spans="1:11" x14ac:dyDescent="0.25">
      <c r="D57" t="s">
        <v>201</v>
      </c>
      <c r="E57" t="s">
        <v>205</v>
      </c>
      <c r="F57">
        <v>4</v>
      </c>
      <c r="G57" t="s">
        <v>156</v>
      </c>
      <c r="H57" s="27">
        <v>3.125</v>
      </c>
      <c r="I57" s="27">
        <v>93.75</v>
      </c>
    </row>
    <row r="58" spans="1:11" x14ac:dyDescent="0.25">
      <c r="D58" t="s">
        <v>201</v>
      </c>
      <c r="E58" t="s">
        <v>154</v>
      </c>
      <c r="F58">
        <v>1</v>
      </c>
      <c r="G58" t="s">
        <v>177</v>
      </c>
      <c r="H58" s="27">
        <v>25.3125</v>
      </c>
      <c r="I58" s="27">
        <v>177.1875</v>
      </c>
    </row>
    <row r="59" spans="1:11" x14ac:dyDescent="0.25">
      <c r="D59" t="s">
        <v>201</v>
      </c>
      <c r="G59" t="s">
        <v>206</v>
      </c>
      <c r="H59" s="27">
        <v>3.125</v>
      </c>
      <c r="I59" s="27">
        <v>21.875</v>
      </c>
    </row>
    <row r="60" spans="1:11" x14ac:dyDescent="0.25">
      <c r="D60" t="s">
        <v>201</v>
      </c>
      <c r="G60" t="s">
        <v>194</v>
      </c>
      <c r="H60" s="27">
        <v>3.75</v>
      </c>
      <c r="I60" s="27">
        <v>3.75</v>
      </c>
    </row>
    <row r="61" spans="1:11" x14ac:dyDescent="0.25">
      <c r="D61" t="s">
        <v>201</v>
      </c>
      <c r="G61" t="s">
        <v>162</v>
      </c>
      <c r="H61" s="27">
        <v>9.375</v>
      </c>
      <c r="I61" s="27">
        <v>65.625</v>
      </c>
    </row>
    <row r="62" spans="1:11" x14ac:dyDescent="0.25">
      <c r="A62" s="7"/>
      <c r="B62" s="7"/>
      <c r="C62" s="7"/>
      <c r="D62" s="7" t="s">
        <v>201</v>
      </c>
      <c r="E62" s="7"/>
      <c r="F62" s="7"/>
      <c r="G62" s="7" t="s">
        <v>164</v>
      </c>
      <c r="H62" s="28">
        <v>0.625</v>
      </c>
      <c r="I62" s="28">
        <v>18.75</v>
      </c>
      <c r="J62" s="7"/>
      <c r="K62" s="7"/>
    </row>
    <row r="63" spans="1:11" x14ac:dyDescent="0.25">
      <c r="A63" s="5"/>
      <c r="B63" s="5"/>
      <c r="C63" s="5"/>
      <c r="D63" s="5" t="s">
        <v>207</v>
      </c>
      <c r="E63" s="5" t="s">
        <v>208</v>
      </c>
      <c r="F63" s="5">
        <v>23</v>
      </c>
      <c r="G63" s="5" t="s">
        <v>147</v>
      </c>
      <c r="H63" s="8">
        <v>2.8125</v>
      </c>
      <c r="I63" s="8">
        <v>81.5625</v>
      </c>
      <c r="J63" s="29">
        <f>SUM(I63:I69)</f>
        <v>235.9375</v>
      </c>
      <c r="K63" s="8">
        <f>(J63/$I$329)*100</f>
        <v>4.619303800072113E-2</v>
      </c>
    </row>
    <row r="64" spans="1:11" x14ac:dyDescent="0.25">
      <c r="D64" t="s">
        <v>207</v>
      </c>
      <c r="E64" t="s">
        <v>209</v>
      </c>
      <c r="F64">
        <v>2</v>
      </c>
      <c r="G64" t="s">
        <v>210</v>
      </c>
      <c r="H64" s="27">
        <v>3.125</v>
      </c>
      <c r="I64" s="27">
        <v>71.875</v>
      </c>
    </row>
    <row r="65" spans="1:11" x14ac:dyDescent="0.25">
      <c r="D65" t="s">
        <v>207</v>
      </c>
      <c r="E65" t="s">
        <v>211</v>
      </c>
      <c r="F65">
        <v>1</v>
      </c>
      <c r="G65" t="s">
        <v>212</v>
      </c>
      <c r="H65" s="27">
        <v>3.125</v>
      </c>
      <c r="I65" s="27">
        <v>3.125</v>
      </c>
    </row>
    <row r="66" spans="1:11" x14ac:dyDescent="0.25">
      <c r="D66" t="s">
        <v>207</v>
      </c>
      <c r="E66" t="s">
        <v>213</v>
      </c>
      <c r="F66">
        <v>3</v>
      </c>
      <c r="G66" t="s">
        <v>214</v>
      </c>
      <c r="H66" s="27">
        <v>3.125</v>
      </c>
      <c r="I66" s="27">
        <v>6.25</v>
      </c>
    </row>
    <row r="67" spans="1:11" x14ac:dyDescent="0.25">
      <c r="D67" t="s">
        <v>207</v>
      </c>
      <c r="E67" t="s">
        <v>154</v>
      </c>
      <c r="F67">
        <v>1</v>
      </c>
      <c r="G67" t="s">
        <v>215</v>
      </c>
      <c r="H67" s="27">
        <v>25.3125</v>
      </c>
      <c r="I67" s="27">
        <v>50.625</v>
      </c>
    </row>
    <row r="68" spans="1:11" x14ac:dyDescent="0.25">
      <c r="D68" t="s">
        <v>207</v>
      </c>
      <c r="G68" t="s">
        <v>216</v>
      </c>
      <c r="H68" s="27">
        <v>3.75</v>
      </c>
      <c r="I68" s="27">
        <v>3.75</v>
      </c>
    </row>
    <row r="69" spans="1:11" x14ac:dyDescent="0.25">
      <c r="A69" s="7"/>
      <c r="B69" s="7"/>
      <c r="C69" s="7"/>
      <c r="D69" s="7" t="s">
        <v>207</v>
      </c>
      <c r="E69" s="7"/>
      <c r="F69" s="7"/>
      <c r="G69" s="7" t="s">
        <v>217</v>
      </c>
      <c r="H69" s="28">
        <v>9.375</v>
      </c>
      <c r="I69" s="28">
        <v>18.75</v>
      </c>
      <c r="J69" s="7"/>
      <c r="K69" s="7"/>
    </row>
    <row r="70" spans="1:11" x14ac:dyDescent="0.25">
      <c r="A70" s="5"/>
      <c r="B70" s="5"/>
      <c r="C70" s="5"/>
      <c r="D70" s="5" t="s">
        <v>218</v>
      </c>
      <c r="E70" s="5" t="s">
        <v>219</v>
      </c>
      <c r="F70" s="5">
        <v>9</v>
      </c>
      <c r="G70" s="5" t="s">
        <v>167</v>
      </c>
      <c r="H70" s="8">
        <v>1.25</v>
      </c>
      <c r="I70" s="8">
        <v>35</v>
      </c>
      <c r="J70" s="29">
        <f>SUM(I70:I77)</f>
        <v>185</v>
      </c>
      <c r="K70" s="8">
        <f>(J70/$I$329)*100</f>
        <v>3.6220236419108487E-2</v>
      </c>
    </row>
    <row r="71" spans="1:11" x14ac:dyDescent="0.25">
      <c r="D71" t="s">
        <v>218</v>
      </c>
      <c r="E71" t="s">
        <v>209</v>
      </c>
      <c r="F71">
        <v>2</v>
      </c>
      <c r="G71" t="s">
        <v>147</v>
      </c>
      <c r="H71" s="27">
        <v>2.8125</v>
      </c>
      <c r="I71" s="27">
        <v>39.375</v>
      </c>
    </row>
    <row r="72" spans="1:11" x14ac:dyDescent="0.25">
      <c r="D72" t="s">
        <v>218</v>
      </c>
      <c r="E72" t="s">
        <v>211</v>
      </c>
      <c r="F72">
        <v>1</v>
      </c>
      <c r="G72" t="s">
        <v>220</v>
      </c>
      <c r="H72" s="27">
        <v>3.125</v>
      </c>
      <c r="I72" s="27">
        <v>28.125</v>
      </c>
    </row>
    <row r="73" spans="1:11" x14ac:dyDescent="0.25">
      <c r="D73" t="s">
        <v>218</v>
      </c>
      <c r="E73" t="s">
        <v>221</v>
      </c>
      <c r="F73">
        <v>2</v>
      </c>
      <c r="G73" t="s">
        <v>212</v>
      </c>
      <c r="H73" s="27">
        <v>3.125</v>
      </c>
      <c r="I73" s="27">
        <v>3.125</v>
      </c>
    </row>
    <row r="74" spans="1:11" x14ac:dyDescent="0.25">
      <c r="D74" t="s">
        <v>218</v>
      </c>
      <c r="E74" t="s">
        <v>154</v>
      </c>
      <c r="F74">
        <v>1</v>
      </c>
      <c r="G74" t="s">
        <v>214</v>
      </c>
      <c r="H74" s="27">
        <v>3.125</v>
      </c>
      <c r="I74" s="27">
        <v>6.25</v>
      </c>
    </row>
    <row r="75" spans="1:11" x14ac:dyDescent="0.25">
      <c r="D75" t="s">
        <v>218</v>
      </c>
      <c r="G75" t="s">
        <v>215</v>
      </c>
      <c r="H75" s="27">
        <v>25.3125</v>
      </c>
      <c r="I75" s="27">
        <v>50.625</v>
      </c>
    </row>
    <row r="76" spans="1:11" x14ac:dyDescent="0.25">
      <c r="D76" t="s">
        <v>218</v>
      </c>
      <c r="G76" t="s">
        <v>216</v>
      </c>
      <c r="H76" s="27">
        <v>3.75</v>
      </c>
      <c r="I76" s="27">
        <v>3.75</v>
      </c>
    </row>
    <row r="77" spans="1:11" x14ac:dyDescent="0.25">
      <c r="A77" s="7"/>
      <c r="B77" s="7"/>
      <c r="C77" s="7"/>
      <c r="D77" s="7" t="s">
        <v>218</v>
      </c>
      <c r="E77" s="7"/>
      <c r="F77" s="7"/>
      <c r="G77" s="7" t="s">
        <v>217</v>
      </c>
      <c r="H77" s="28">
        <v>9.375</v>
      </c>
      <c r="I77" s="28">
        <v>18.75</v>
      </c>
      <c r="J77" s="7"/>
      <c r="K77" s="7"/>
    </row>
    <row r="78" spans="1:11" x14ac:dyDescent="0.25">
      <c r="A78" s="5"/>
      <c r="B78" s="5"/>
      <c r="C78" s="5"/>
      <c r="D78" s="5" t="s">
        <v>222</v>
      </c>
      <c r="E78" s="5" t="s">
        <v>223</v>
      </c>
      <c r="F78" s="5">
        <v>30</v>
      </c>
      <c r="G78" s="5" t="s">
        <v>167</v>
      </c>
      <c r="H78" s="8">
        <v>1.25</v>
      </c>
      <c r="I78" s="8">
        <v>122.5</v>
      </c>
      <c r="J78" s="29">
        <f>SUM(I78:I83)</f>
        <v>732.1875</v>
      </c>
      <c r="K78" s="8">
        <f>(J78/$I$329)*100</f>
        <v>0.14335137488170807</v>
      </c>
    </row>
    <row r="79" spans="1:11" x14ac:dyDescent="0.25">
      <c r="D79" t="s">
        <v>222</v>
      </c>
      <c r="E79" t="s">
        <v>224</v>
      </c>
      <c r="F79">
        <v>10</v>
      </c>
      <c r="G79" t="s">
        <v>147</v>
      </c>
      <c r="H79" s="27">
        <v>2.8125</v>
      </c>
      <c r="I79" s="27">
        <v>137.8125</v>
      </c>
    </row>
    <row r="80" spans="1:11" x14ac:dyDescent="0.25">
      <c r="D80" t="s">
        <v>222</v>
      </c>
      <c r="E80" t="s">
        <v>225</v>
      </c>
      <c r="F80">
        <v>9</v>
      </c>
      <c r="G80" t="s">
        <v>226</v>
      </c>
      <c r="H80" s="27">
        <v>3.125</v>
      </c>
      <c r="I80" s="27">
        <v>93.75</v>
      </c>
    </row>
    <row r="81" spans="1:11" x14ac:dyDescent="0.25">
      <c r="D81" t="s">
        <v>222</v>
      </c>
      <c r="E81" t="s">
        <v>154</v>
      </c>
      <c r="F81">
        <v>1</v>
      </c>
      <c r="G81" t="s">
        <v>214</v>
      </c>
      <c r="H81" s="27">
        <v>3.125</v>
      </c>
      <c r="I81" s="27">
        <v>31.25</v>
      </c>
    </row>
    <row r="82" spans="1:11" x14ac:dyDescent="0.25">
      <c r="D82" t="s">
        <v>222</v>
      </c>
      <c r="G82" t="s">
        <v>227</v>
      </c>
      <c r="H82" s="27">
        <v>25.3125</v>
      </c>
      <c r="I82" s="27">
        <v>253.125</v>
      </c>
    </row>
    <row r="83" spans="1:11" x14ac:dyDescent="0.25">
      <c r="A83" s="7"/>
      <c r="B83" s="7"/>
      <c r="C83" s="7"/>
      <c r="D83" s="7" t="s">
        <v>222</v>
      </c>
      <c r="E83" s="7"/>
      <c r="F83" s="7"/>
      <c r="G83" s="7" t="s">
        <v>217</v>
      </c>
      <c r="H83" s="28">
        <v>9.375</v>
      </c>
      <c r="I83" s="28">
        <v>93.75</v>
      </c>
      <c r="J83" s="7"/>
      <c r="K83" s="7"/>
    </row>
    <row r="84" spans="1:11" x14ac:dyDescent="0.25">
      <c r="A84" s="5"/>
      <c r="B84" s="5"/>
      <c r="C84" s="5"/>
      <c r="D84" s="5" t="s">
        <v>228</v>
      </c>
      <c r="E84" s="5" t="s">
        <v>229</v>
      </c>
      <c r="F84" s="5">
        <v>792</v>
      </c>
      <c r="G84" s="5" t="s">
        <v>230</v>
      </c>
      <c r="H84" s="8">
        <v>0.375</v>
      </c>
      <c r="I84" s="8">
        <v>1095.75</v>
      </c>
      <c r="J84" s="29">
        <f>SUM(I84:I95)</f>
        <v>10655.75</v>
      </c>
      <c r="K84" s="8">
        <f>(J84/$I$329)*100</f>
        <v>2.0862366714752176</v>
      </c>
    </row>
    <row r="85" spans="1:11" x14ac:dyDescent="0.25">
      <c r="D85" t="s">
        <v>228</v>
      </c>
      <c r="E85" t="s">
        <v>231</v>
      </c>
      <c r="F85">
        <v>92</v>
      </c>
      <c r="G85" t="s">
        <v>147</v>
      </c>
      <c r="H85" s="27">
        <v>0.9375</v>
      </c>
      <c r="I85" s="27">
        <v>2739.375</v>
      </c>
    </row>
    <row r="86" spans="1:11" x14ac:dyDescent="0.25">
      <c r="D86" t="s">
        <v>228</v>
      </c>
      <c r="E86" t="s">
        <v>232</v>
      </c>
      <c r="F86">
        <v>23</v>
      </c>
      <c r="G86" t="s">
        <v>233</v>
      </c>
      <c r="H86" s="27">
        <v>0.75</v>
      </c>
      <c r="I86" s="27">
        <v>1782</v>
      </c>
    </row>
    <row r="87" spans="1:11" x14ac:dyDescent="0.25">
      <c r="D87" t="s">
        <v>228</v>
      </c>
      <c r="E87" t="s">
        <v>234</v>
      </c>
      <c r="F87">
        <v>44</v>
      </c>
      <c r="G87" t="s">
        <v>235</v>
      </c>
      <c r="H87" s="27">
        <v>0.9375</v>
      </c>
      <c r="I87" s="27">
        <v>258.75</v>
      </c>
    </row>
    <row r="88" spans="1:11" x14ac:dyDescent="0.25">
      <c r="D88" t="s">
        <v>228</v>
      </c>
      <c r="E88" t="s">
        <v>236</v>
      </c>
      <c r="F88">
        <v>23</v>
      </c>
      <c r="G88" t="s">
        <v>237</v>
      </c>
      <c r="H88" s="27">
        <v>3.125</v>
      </c>
      <c r="I88" s="27">
        <v>215.625</v>
      </c>
    </row>
    <row r="89" spans="1:11" x14ac:dyDescent="0.25">
      <c r="D89" t="s">
        <v>228</v>
      </c>
      <c r="E89" t="s">
        <v>154</v>
      </c>
      <c r="F89">
        <v>3</v>
      </c>
      <c r="G89" t="s">
        <v>238</v>
      </c>
      <c r="H89" s="27">
        <v>3</v>
      </c>
      <c r="I89" s="27">
        <v>828</v>
      </c>
    </row>
    <row r="90" spans="1:11" x14ac:dyDescent="0.25">
      <c r="D90" t="s">
        <v>228</v>
      </c>
      <c r="G90" t="s">
        <v>239</v>
      </c>
      <c r="H90" s="27">
        <v>3.75</v>
      </c>
      <c r="I90" s="27">
        <v>258.75</v>
      </c>
    </row>
    <row r="91" spans="1:11" x14ac:dyDescent="0.25">
      <c r="D91" t="s">
        <v>228</v>
      </c>
      <c r="G91" t="s">
        <v>240</v>
      </c>
      <c r="H91" s="27">
        <v>6.25</v>
      </c>
      <c r="I91" s="27">
        <v>1100</v>
      </c>
    </row>
    <row r="92" spans="1:11" x14ac:dyDescent="0.25">
      <c r="D92" t="s">
        <v>228</v>
      </c>
      <c r="G92" t="s">
        <v>241</v>
      </c>
      <c r="H92" s="27">
        <v>7.5</v>
      </c>
      <c r="I92" s="27">
        <v>1320</v>
      </c>
    </row>
    <row r="93" spans="1:11" x14ac:dyDescent="0.25">
      <c r="D93" t="s">
        <v>228</v>
      </c>
      <c r="G93" t="s">
        <v>242</v>
      </c>
      <c r="H93" s="27">
        <v>3.125</v>
      </c>
      <c r="I93" s="27">
        <v>550</v>
      </c>
    </row>
    <row r="94" spans="1:11" x14ac:dyDescent="0.25">
      <c r="D94" t="s">
        <v>228</v>
      </c>
      <c r="G94" t="s">
        <v>243</v>
      </c>
      <c r="H94" s="27">
        <v>12.5</v>
      </c>
      <c r="I94" s="27">
        <v>12.5</v>
      </c>
    </row>
    <row r="95" spans="1:11" x14ac:dyDescent="0.25">
      <c r="A95" s="7"/>
      <c r="B95" s="7"/>
      <c r="C95" s="7"/>
      <c r="D95" s="7" t="s">
        <v>228</v>
      </c>
      <c r="E95" s="7"/>
      <c r="F95" s="7"/>
      <c r="G95" s="7" t="s">
        <v>164</v>
      </c>
      <c r="H95" s="28">
        <v>0.625</v>
      </c>
      <c r="I95" s="28">
        <v>495</v>
      </c>
      <c r="J95" s="7"/>
      <c r="K95" s="7"/>
    </row>
    <row r="96" spans="1:11" x14ac:dyDescent="0.25">
      <c r="A96" s="5"/>
      <c r="B96" s="5"/>
      <c r="C96" s="5"/>
      <c r="D96" s="5" t="s">
        <v>244</v>
      </c>
      <c r="E96" s="5" t="s">
        <v>245</v>
      </c>
      <c r="F96" s="5">
        <v>1275</v>
      </c>
      <c r="G96" s="5" t="s">
        <v>230</v>
      </c>
      <c r="H96" s="8">
        <v>0.375</v>
      </c>
      <c r="I96" s="8">
        <v>512.625</v>
      </c>
      <c r="J96" s="29">
        <f>SUM(I96:I103)</f>
        <v>2488.96875</v>
      </c>
      <c r="K96" s="8">
        <f>(J96/$I$329)*100</f>
        <v>0.48730290035012391</v>
      </c>
    </row>
    <row r="97" spans="1:11" x14ac:dyDescent="0.25">
      <c r="D97" t="s">
        <v>244</v>
      </c>
      <c r="E97" t="s">
        <v>246</v>
      </c>
      <c r="F97">
        <v>46</v>
      </c>
      <c r="G97" t="s">
        <v>147</v>
      </c>
      <c r="H97" s="27">
        <v>0.9375</v>
      </c>
      <c r="I97" s="27">
        <v>1281.5625</v>
      </c>
    </row>
    <row r="98" spans="1:11" x14ac:dyDescent="0.25">
      <c r="D98" t="s">
        <v>244</v>
      </c>
      <c r="E98" t="s">
        <v>247</v>
      </c>
      <c r="F98">
        <v>23</v>
      </c>
      <c r="G98" t="s">
        <v>248</v>
      </c>
      <c r="H98" s="27">
        <v>0.375</v>
      </c>
      <c r="I98" s="27">
        <v>478.125</v>
      </c>
    </row>
    <row r="99" spans="1:11" x14ac:dyDescent="0.25">
      <c r="D99" t="s">
        <v>244</v>
      </c>
      <c r="E99" t="s">
        <v>249</v>
      </c>
      <c r="F99">
        <v>23</v>
      </c>
      <c r="G99" t="s">
        <v>250</v>
      </c>
      <c r="H99" s="27">
        <v>0.75</v>
      </c>
      <c r="I99" s="27">
        <v>34.5</v>
      </c>
    </row>
    <row r="100" spans="1:11" x14ac:dyDescent="0.25">
      <c r="D100" t="s">
        <v>244</v>
      </c>
      <c r="E100" t="s">
        <v>154</v>
      </c>
      <c r="F100">
        <v>1</v>
      </c>
      <c r="G100" t="s">
        <v>251</v>
      </c>
      <c r="H100" s="27">
        <v>0.9375</v>
      </c>
      <c r="I100" s="27">
        <v>21.5625</v>
      </c>
    </row>
    <row r="101" spans="1:11" x14ac:dyDescent="0.25">
      <c r="D101" t="s">
        <v>244</v>
      </c>
      <c r="G101" t="s">
        <v>252</v>
      </c>
      <c r="H101" s="27">
        <v>1.125</v>
      </c>
      <c r="I101" s="27">
        <v>51.75</v>
      </c>
    </row>
    <row r="102" spans="1:11" x14ac:dyDescent="0.25">
      <c r="D102" t="s">
        <v>244</v>
      </c>
      <c r="G102" t="s">
        <v>253</v>
      </c>
      <c r="H102" s="27">
        <v>3</v>
      </c>
      <c r="I102" s="27">
        <v>69</v>
      </c>
    </row>
    <row r="103" spans="1:11" x14ac:dyDescent="0.25">
      <c r="A103" s="7"/>
      <c r="B103" s="7"/>
      <c r="C103" s="7"/>
      <c r="D103" s="7" t="s">
        <v>244</v>
      </c>
      <c r="E103" s="7"/>
      <c r="F103" s="7"/>
      <c r="G103" s="7" t="s">
        <v>254</v>
      </c>
      <c r="H103" s="28">
        <v>3.125E-2</v>
      </c>
      <c r="I103" s="28">
        <v>39.84375</v>
      </c>
      <c r="J103" s="7"/>
      <c r="K103" s="7"/>
    </row>
    <row r="104" spans="1:11" x14ac:dyDescent="0.25">
      <c r="A104" s="5"/>
      <c r="B104" s="5"/>
      <c r="C104" s="5"/>
      <c r="D104" s="5" t="s">
        <v>255</v>
      </c>
      <c r="E104" s="5" t="s">
        <v>256</v>
      </c>
      <c r="F104" s="5">
        <v>4538</v>
      </c>
      <c r="G104" s="5" t="s">
        <v>230</v>
      </c>
      <c r="H104" s="8">
        <v>0.375</v>
      </c>
      <c r="I104" s="8">
        <v>4407</v>
      </c>
      <c r="J104" s="29">
        <f>SUM(I104:I114)</f>
        <v>38611.1875</v>
      </c>
      <c r="K104" s="8">
        <f>(J104/$I$329)*100</f>
        <v>7.5594937279596026</v>
      </c>
    </row>
    <row r="105" spans="1:11" x14ac:dyDescent="0.25">
      <c r="D105" t="s">
        <v>255</v>
      </c>
      <c r="E105" t="s">
        <v>257</v>
      </c>
      <c r="F105">
        <v>792</v>
      </c>
      <c r="G105" t="s">
        <v>147</v>
      </c>
      <c r="H105" s="27">
        <v>0.9375</v>
      </c>
      <c r="I105" s="27">
        <v>11017.5</v>
      </c>
    </row>
    <row r="106" spans="1:11" x14ac:dyDescent="0.25">
      <c r="D106" t="s">
        <v>255</v>
      </c>
      <c r="E106" t="s">
        <v>258</v>
      </c>
      <c r="F106">
        <v>92</v>
      </c>
      <c r="G106" t="s">
        <v>259</v>
      </c>
      <c r="H106" s="27">
        <v>0.375</v>
      </c>
      <c r="I106" s="27">
        <v>3403.5</v>
      </c>
    </row>
    <row r="107" spans="1:11" x14ac:dyDescent="0.25">
      <c r="D107" t="s">
        <v>255</v>
      </c>
      <c r="E107" t="s">
        <v>260</v>
      </c>
      <c r="F107">
        <v>135</v>
      </c>
      <c r="G107" t="s">
        <v>261</v>
      </c>
      <c r="H107" s="27">
        <v>0.9375</v>
      </c>
      <c r="I107" s="27">
        <v>172.5</v>
      </c>
    </row>
    <row r="108" spans="1:11" x14ac:dyDescent="0.25">
      <c r="D108" t="s">
        <v>255</v>
      </c>
      <c r="E108" t="s">
        <v>262</v>
      </c>
      <c r="F108">
        <v>46</v>
      </c>
      <c r="G108" t="s">
        <v>263</v>
      </c>
      <c r="H108" s="27">
        <v>0.75</v>
      </c>
      <c r="I108" s="27">
        <v>1188</v>
      </c>
    </row>
    <row r="109" spans="1:11" x14ac:dyDescent="0.25">
      <c r="D109" t="s">
        <v>255</v>
      </c>
      <c r="E109" t="s">
        <v>154</v>
      </c>
      <c r="F109">
        <v>2</v>
      </c>
      <c r="G109" t="s">
        <v>264</v>
      </c>
      <c r="H109" s="27">
        <v>3</v>
      </c>
      <c r="I109" s="27">
        <v>552</v>
      </c>
    </row>
    <row r="110" spans="1:11" x14ac:dyDescent="0.25">
      <c r="D110" t="s">
        <v>255</v>
      </c>
      <c r="G110" t="s">
        <v>265</v>
      </c>
      <c r="H110" s="27">
        <v>1.125</v>
      </c>
      <c r="I110" s="27">
        <v>1782</v>
      </c>
    </row>
    <row r="111" spans="1:11" x14ac:dyDescent="0.25">
      <c r="D111" t="s">
        <v>255</v>
      </c>
      <c r="G111" t="s">
        <v>266</v>
      </c>
      <c r="H111" s="27">
        <v>6.25</v>
      </c>
      <c r="I111" s="27">
        <v>5906.25</v>
      </c>
    </row>
    <row r="112" spans="1:11" x14ac:dyDescent="0.25">
      <c r="D112" t="s">
        <v>255</v>
      </c>
      <c r="G112" t="s">
        <v>267</v>
      </c>
      <c r="H112" s="27">
        <v>7.5</v>
      </c>
      <c r="I112" s="27">
        <v>7087.5</v>
      </c>
    </row>
    <row r="113" spans="1:11" x14ac:dyDescent="0.25">
      <c r="D113" t="s">
        <v>255</v>
      </c>
      <c r="G113" t="s">
        <v>268</v>
      </c>
      <c r="H113" s="27">
        <v>3.125</v>
      </c>
      <c r="I113" s="27">
        <v>2953.125</v>
      </c>
    </row>
    <row r="114" spans="1:11" x14ac:dyDescent="0.25">
      <c r="A114" s="7"/>
      <c r="B114" s="7"/>
      <c r="C114" s="7"/>
      <c r="D114" s="7" t="s">
        <v>255</v>
      </c>
      <c r="E114" s="7"/>
      <c r="F114" s="7"/>
      <c r="G114" s="7" t="s">
        <v>269</v>
      </c>
      <c r="H114" s="28">
        <v>3.125E-2</v>
      </c>
      <c r="I114" s="28">
        <v>141.8125</v>
      </c>
      <c r="J114" s="7"/>
      <c r="K114" s="7"/>
    </row>
    <row r="115" spans="1:11" x14ac:dyDescent="0.25">
      <c r="A115" s="5"/>
      <c r="B115" s="5"/>
      <c r="C115" s="5"/>
      <c r="D115" s="5" t="s">
        <v>270</v>
      </c>
      <c r="E115" s="5" t="s">
        <v>271</v>
      </c>
      <c r="F115" s="5">
        <v>2269</v>
      </c>
      <c r="G115" s="5" t="s">
        <v>230</v>
      </c>
      <c r="H115" s="8">
        <v>0.375</v>
      </c>
      <c r="I115" s="8">
        <v>1866</v>
      </c>
      <c r="J115" s="29">
        <f>SUM(I115:I124)</f>
        <v>15159.5</v>
      </c>
      <c r="K115" s="8">
        <f>(J115/$I$329)*100</f>
        <v>2.9680036432187844</v>
      </c>
    </row>
    <row r="116" spans="1:11" x14ac:dyDescent="0.25">
      <c r="D116" t="s">
        <v>270</v>
      </c>
      <c r="E116" t="s">
        <v>272</v>
      </c>
      <c r="F116">
        <v>23</v>
      </c>
      <c r="G116" t="s">
        <v>147</v>
      </c>
      <c r="H116" s="27">
        <v>0.9375</v>
      </c>
      <c r="I116" s="27">
        <v>4665</v>
      </c>
    </row>
    <row r="117" spans="1:11" x14ac:dyDescent="0.25">
      <c r="D117" t="s">
        <v>270</v>
      </c>
      <c r="E117" t="s">
        <v>273</v>
      </c>
      <c r="F117">
        <v>23</v>
      </c>
      <c r="G117" t="s">
        <v>274</v>
      </c>
      <c r="H117" s="27">
        <v>0.375</v>
      </c>
      <c r="I117" s="27">
        <v>1701.75</v>
      </c>
    </row>
    <row r="118" spans="1:11" x14ac:dyDescent="0.25">
      <c r="D118" t="s">
        <v>270</v>
      </c>
      <c r="E118" t="s">
        <v>275</v>
      </c>
      <c r="F118">
        <v>127</v>
      </c>
      <c r="G118" t="s">
        <v>276</v>
      </c>
      <c r="H118" s="27">
        <v>0.9375</v>
      </c>
      <c r="I118" s="27">
        <v>43.125</v>
      </c>
    </row>
    <row r="119" spans="1:11" x14ac:dyDescent="0.25">
      <c r="D119" t="s">
        <v>270</v>
      </c>
      <c r="E119" t="s">
        <v>277</v>
      </c>
      <c r="F119">
        <v>46</v>
      </c>
      <c r="G119" t="s">
        <v>237</v>
      </c>
      <c r="H119" s="27">
        <v>3.125</v>
      </c>
      <c r="I119" s="27">
        <v>143.75</v>
      </c>
    </row>
    <row r="120" spans="1:11" x14ac:dyDescent="0.25">
      <c r="D120" t="s">
        <v>270</v>
      </c>
      <c r="E120" t="s">
        <v>154</v>
      </c>
      <c r="F120">
        <v>2</v>
      </c>
      <c r="G120" t="s">
        <v>278</v>
      </c>
      <c r="H120" s="27">
        <v>6.25</v>
      </c>
      <c r="I120" s="27">
        <v>2381.25</v>
      </c>
    </row>
    <row r="121" spans="1:11" x14ac:dyDescent="0.25">
      <c r="D121" t="s">
        <v>270</v>
      </c>
      <c r="G121" t="s">
        <v>279</v>
      </c>
      <c r="H121" s="27">
        <v>7.5</v>
      </c>
      <c r="I121" s="27">
        <v>2857.5</v>
      </c>
    </row>
    <row r="122" spans="1:11" x14ac:dyDescent="0.25">
      <c r="D122" t="s">
        <v>270</v>
      </c>
      <c r="G122" t="s">
        <v>268</v>
      </c>
      <c r="H122" s="27">
        <v>3.125</v>
      </c>
      <c r="I122" s="27">
        <v>1190.625</v>
      </c>
    </row>
    <row r="123" spans="1:11" x14ac:dyDescent="0.25">
      <c r="D123" t="s">
        <v>270</v>
      </c>
      <c r="G123" t="s">
        <v>280</v>
      </c>
      <c r="H123" s="27">
        <v>3</v>
      </c>
      <c r="I123" s="27">
        <v>138</v>
      </c>
    </row>
    <row r="124" spans="1:11" x14ac:dyDescent="0.25">
      <c r="A124" s="7"/>
      <c r="B124" s="7"/>
      <c r="C124" s="7"/>
      <c r="D124" s="7" t="s">
        <v>270</v>
      </c>
      <c r="E124" s="7"/>
      <c r="F124" s="7"/>
      <c r="G124" s="7" t="s">
        <v>281</v>
      </c>
      <c r="H124" s="28">
        <v>3.75</v>
      </c>
      <c r="I124" s="28">
        <v>172.5</v>
      </c>
      <c r="J124" s="7"/>
      <c r="K124" s="7"/>
    </row>
    <row r="125" spans="1:11" x14ac:dyDescent="0.25">
      <c r="A125" s="5"/>
      <c r="B125" s="5"/>
      <c r="C125" s="5"/>
      <c r="D125" s="5" t="s">
        <v>282</v>
      </c>
      <c r="E125" s="5" t="s">
        <v>283</v>
      </c>
      <c r="F125" s="5">
        <v>255</v>
      </c>
      <c r="G125" s="5" t="s">
        <v>147</v>
      </c>
      <c r="H125" s="8">
        <v>0.9375</v>
      </c>
      <c r="I125" s="8">
        <v>303.75</v>
      </c>
      <c r="J125" s="29">
        <f>SUM(H125:I130)</f>
        <v>660.1875</v>
      </c>
      <c r="K125" s="8">
        <f>(J125/$I$329)*100</f>
        <v>0.1292548504375145</v>
      </c>
    </row>
    <row r="126" spans="1:11" x14ac:dyDescent="0.25">
      <c r="D126" t="s">
        <v>282</v>
      </c>
      <c r="E126" t="s">
        <v>284</v>
      </c>
      <c r="F126">
        <v>23</v>
      </c>
      <c r="G126" t="s">
        <v>285</v>
      </c>
      <c r="H126" s="27">
        <v>0.375</v>
      </c>
      <c r="I126" s="27">
        <v>95.625</v>
      </c>
    </row>
    <row r="127" spans="1:11" x14ac:dyDescent="0.25">
      <c r="D127" t="s">
        <v>282</v>
      </c>
      <c r="E127" t="s">
        <v>286</v>
      </c>
      <c r="F127">
        <v>23</v>
      </c>
      <c r="G127" t="s">
        <v>287</v>
      </c>
      <c r="H127" s="27">
        <v>0.9375</v>
      </c>
      <c r="I127" s="27">
        <v>21.5625</v>
      </c>
    </row>
    <row r="128" spans="1:11" x14ac:dyDescent="0.25">
      <c r="D128" t="s">
        <v>282</v>
      </c>
      <c r="E128" t="s">
        <v>236</v>
      </c>
      <c r="F128">
        <v>23</v>
      </c>
      <c r="G128" t="s">
        <v>288</v>
      </c>
      <c r="H128" s="27">
        <v>3.125</v>
      </c>
      <c r="I128" s="27">
        <v>71.875</v>
      </c>
    </row>
    <row r="129" spans="1:11" x14ac:dyDescent="0.25">
      <c r="D129" t="s">
        <v>282</v>
      </c>
      <c r="E129" t="s">
        <v>154</v>
      </c>
      <c r="F129">
        <v>1</v>
      </c>
      <c r="G129" t="s">
        <v>289</v>
      </c>
      <c r="H129" s="27">
        <v>3</v>
      </c>
      <c r="I129" s="27">
        <v>69</v>
      </c>
    </row>
    <row r="130" spans="1:11" x14ac:dyDescent="0.25">
      <c r="A130" s="7"/>
      <c r="B130" s="7"/>
      <c r="C130" s="7"/>
      <c r="D130" s="7" t="s">
        <v>282</v>
      </c>
      <c r="E130" s="7"/>
      <c r="F130" s="7"/>
      <c r="G130" s="7" t="s">
        <v>290</v>
      </c>
      <c r="H130" s="28">
        <v>3.75</v>
      </c>
      <c r="I130" s="28">
        <v>86.25</v>
      </c>
      <c r="J130" s="7"/>
      <c r="K130" s="7"/>
    </row>
    <row r="131" spans="1:11" x14ac:dyDescent="0.25">
      <c r="A131" s="5"/>
      <c r="B131" s="5"/>
      <c r="C131" s="5"/>
      <c r="D131" s="5" t="s">
        <v>291</v>
      </c>
      <c r="E131" s="5" t="s">
        <v>292</v>
      </c>
      <c r="F131" s="5"/>
      <c r="G131" s="5" t="s">
        <v>230</v>
      </c>
      <c r="H131" s="8">
        <v>0.375</v>
      </c>
      <c r="I131" s="5"/>
      <c r="J131" s="5"/>
      <c r="K131" s="5"/>
    </row>
    <row r="132" spans="1:11" x14ac:dyDescent="0.25">
      <c r="D132" t="s">
        <v>291</v>
      </c>
      <c r="E132" t="s">
        <v>293</v>
      </c>
      <c r="G132" t="s">
        <v>147</v>
      </c>
      <c r="H132" s="27">
        <v>0.9375</v>
      </c>
    </row>
    <row r="133" spans="1:11" x14ac:dyDescent="0.25">
      <c r="D133" t="s">
        <v>291</v>
      </c>
      <c r="E133" t="s">
        <v>294</v>
      </c>
      <c r="G133" t="s">
        <v>295</v>
      </c>
      <c r="H133" s="27">
        <v>0.375</v>
      </c>
    </row>
    <row r="134" spans="1:11" x14ac:dyDescent="0.25">
      <c r="D134" t="s">
        <v>291</v>
      </c>
      <c r="E134" t="s">
        <v>275</v>
      </c>
      <c r="G134" t="s">
        <v>263</v>
      </c>
      <c r="H134" s="27">
        <v>0.75</v>
      </c>
    </row>
    <row r="135" spans="1:11" x14ac:dyDescent="0.25">
      <c r="D135" t="s">
        <v>291</v>
      </c>
      <c r="E135" t="s">
        <v>296</v>
      </c>
      <c r="G135" t="s">
        <v>261</v>
      </c>
      <c r="H135" s="27">
        <v>0.9375</v>
      </c>
    </row>
    <row r="136" spans="1:11" x14ac:dyDescent="0.25">
      <c r="D136" t="s">
        <v>291</v>
      </c>
      <c r="E136" t="s">
        <v>154</v>
      </c>
      <c r="G136" t="s">
        <v>264</v>
      </c>
      <c r="H136" s="27">
        <v>3</v>
      </c>
    </row>
    <row r="137" spans="1:11" x14ac:dyDescent="0.25">
      <c r="D137" t="s">
        <v>291</v>
      </c>
      <c r="G137" t="s">
        <v>265</v>
      </c>
      <c r="H137" s="27">
        <v>1.125</v>
      </c>
    </row>
    <row r="138" spans="1:11" x14ac:dyDescent="0.25">
      <c r="D138" t="s">
        <v>291</v>
      </c>
      <c r="G138" t="s">
        <v>266</v>
      </c>
      <c r="H138" s="27">
        <v>6.25</v>
      </c>
    </row>
    <row r="139" spans="1:11" x14ac:dyDescent="0.25">
      <c r="D139" t="s">
        <v>291</v>
      </c>
      <c r="G139" t="s">
        <v>268</v>
      </c>
      <c r="H139" s="27">
        <v>2.1875</v>
      </c>
    </row>
    <row r="140" spans="1:11" x14ac:dyDescent="0.25">
      <c r="D140" t="s">
        <v>291</v>
      </c>
      <c r="G140" t="s">
        <v>297</v>
      </c>
      <c r="H140" s="27">
        <v>7.5</v>
      </c>
    </row>
    <row r="141" spans="1:11" x14ac:dyDescent="0.25">
      <c r="A141" s="7"/>
      <c r="B141" s="7"/>
      <c r="C141" s="7"/>
      <c r="D141" s="7" t="s">
        <v>291</v>
      </c>
      <c r="E141" s="7"/>
      <c r="F141" s="7"/>
      <c r="G141" s="7" t="s">
        <v>269</v>
      </c>
      <c r="H141" s="28">
        <v>3.125E-2</v>
      </c>
      <c r="I141" s="7"/>
      <c r="J141" s="7"/>
      <c r="K141" s="7"/>
    </row>
    <row r="142" spans="1:11" x14ac:dyDescent="0.25">
      <c r="A142" s="5"/>
      <c r="B142" s="5"/>
      <c r="C142" s="5"/>
      <c r="D142" s="5" t="s">
        <v>298</v>
      </c>
      <c r="E142" s="5" t="s">
        <v>299</v>
      </c>
      <c r="F142" s="5"/>
      <c r="G142" s="5" t="s">
        <v>147</v>
      </c>
      <c r="H142" s="8">
        <v>0.9375</v>
      </c>
      <c r="I142" s="5"/>
      <c r="J142" s="5"/>
      <c r="K142" s="5"/>
    </row>
    <row r="143" spans="1:11" x14ac:dyDescent="0.25">
      <c r="D143" t="s">
        <v>298</v>
      </c>
      <c r="E143" t="s">
        <v>300</v>
      </c>
      <c r="G143" t="s">
        <v>301</v>
      </c>
      <c r="H143" s="27">
        <v>0.375</v>
      </c>
    </row>
    <row r="144" spans="1:11" x14ac:dyDescent="0.25">
      <c r="D144" t="s">
        <v>298</v>
      </c>
      <c r="E144" t="s">
        <v>302</v>
      </c>
      <c r="G144" t="s">
        <v>251</v>
      </c>
      <c r="H144" s="27">
        <v>0.9375</v>
      </c>
    </row>
    <row r="145" spans="1:11" x14ac:dyDescent="0.25">
      <c r="D145" t="s">
        <v>298</v>
      </c>
      <c r="E145" t="s">
        <v>303</v>
      </c>
      <c r="G145" t="s">
        <v>237</v>
      </c>
      <c r="H145" s="27">
        <v>2.1875</v>
      </c>
    </row>
    <row r="146" spans="1:11" x14ac:dyDescent="0.25">
      <c r="D146" t="s">
        <v>298</v>
      </c>
      <c r="E146" t="s">
        <v>154</v>
      </c>
      <c r="G146" t="s">
        <v>304</v>
      </c>
      <c r="H146" s="27">
        <v>3</v>
      </c>
    </row>
    <row r="147" spans="1:11" x14ac:dyDescent="0.25">
      <c r="A147" s="7"/>
      <c r="B147" s="7"/>
      <c r="C147" s="7"/>
      <c r="D147" s="7" t="s">
        <v>298</v>
      </c>
      <c r="E147" s="7"/>
      <c r="F147" s="7"/>
      <c r="G147" s="7" t="s">
        <v>305</v>
      </c>
      <c r="H147" s="28">
        <v>3.75</v>
      </c>
      <c r="I147" s="7"/>
      <c r="J147" s="7"/>
      <c r="K147" s="7"/>
    </row>
    <row r="148" spans="1:11" x14ac:dyDescent="0.25">
      <c r="A148" s="5"/>
      <c r="B148" s="5"/>
      <c r="C148" s="5"/>
      <c r="D148" s="5" t="s">
        <v>306</v>
      </c>
      <c r="E148" s="5" t="s">
        <v>307</v>
      </c>
      <c r="F148" s="5">
        <v>2269</v>
      </c>
      <c r="G148" s="5" t="s">
        <v>147</v>
      </c>
      <c r="H148" s="8">
        <v>0.9375</v>
      </c>
      <c r="I148" s="8">
        <v>2999.0625</v>
      </c>
      <c r="J148" s="8">
        <f>SUM(I148:I151)</f>
        <v>5334.9375</v>
      </c>
      <c r="K148" s="8">
        <f>(J148/$I$329)*100</f>
        <v>1.0445010677360411</v>
      </c>
    </row>
    <row r="149" spans="1:11" x14ac:dyDescent="0.25">
      <c r="D149" t="s">
        <v>306</v>
      </c>
      <c r="E149" t="s">
        <v>308</v>
      </c>
      <c r="F149">
        <v>792</v>
      </c>
      <c r="G149" t="s">
        <v>156</v>
      </c>
      <c r="H149" s="27">
        <v>0.375</v>
      </c>
      <c r="I149" s="27">
        <v>850.875</v>
      </c>
      <c r="J149" s="27"/>
    </row>
    <row r="150" spans="1:11" x14ac:dyDescent="0.25">
      <c r="D150" t="s">
        <v>306</v>
      </c>
      <c r="E150" t="s">
        <v>309</v>
      </c>
      <c r="F150">
        <v>138</v>
      </c>
      <c r="G150" t="s">
        <v>310</v>
      </c>
      <c r="H150" s="27">
        <v>0.75</v>
      </c>
      <c r="I150" s="27">
        <v>594</v>
      </c>
      <c r="J150" s="27"/>
    </row>
    <row r="151" spans="1:11" x14ac:dyDescent="0.25">
      <c r="A151" s="7"/>
      <c r="B151" s="7"/>
      <c r="C151" s="7"/>
      <c r="D151" s="7" t="s">
        <v>306</v>
      </c>
      <c r="E151" s="7" t="s">
        <v>154</v>
      </c>
      <c r="F151" s="7">
        <v>1</v>
      </c>
      <c r="G151" s="7" t="s">
        <v>311</v>
      </c>
      <c r="H151" s="28">
        <v>1.125</v>
      </c>
      <c r="I151" s="28">
        <v>891</v>
      </c>
      <c r="J151" s="28"/>
      <c r="K151" s="7"/>
    </row>
    <row r="152" spans="1:11" x14ac:dyDescent="0.25">
      <c r="D152" t="s">
        <v>312</v>
      </c>
      <c r="E152" t="s">
        <v>313</v>
      </c>
      <c r="F152" s="30">
        <v>793.5</v>
      </c>
      <c r="G152" t="s">
        <v>314</v>
      </c>
      <c r="H152" s="2">
        <v>3.2812500000000001E-2</v>
      </c>
      <c r="I152" s="2">
        <v>26.036718749999999</v>
      </c>
      <c r="J152" s="31">
        <f>SUM(I152:I212)</f>
        <v>26008.87761000001</v>
      </c>
      <c r="K152" s="8">
        <f>(J152/$I$329)*100</f>
        <v>5.0921497082695018</v>
      </c>
    </row>
    <row r="153" spans="1:11" x14ac:dyDescent="0.25">
      <c r="D153" t="s">
        <v>312</v>
      </c>
      <c r="E153" t="s">
        <v>315</v>
      </c>
      <c r="F153" s="30">
        <v>17017.5</v>
      </c>
      <c r="G153" t="s">
        <v>314</v>
      </c>
      <c r="H153" s="2">
        <v>3.2812500000000001E-2</v>
      </c>
      <c r="I153" s="2">
        <v>558.38671875</v>
      </c>
    </row>
    <row r="154" spans="1:11" x14ac:dyDescent="0.25">
      <c r="D154" t="s">
        <v>312</v>
      </c>
      <c r="E154" t="s">
        <v>316</v>
      </c>
      <c r="F154" s="30">
        <v>517.5</v>
      </c>
      <c r="G154" t="s">
        <v>314</v>
      </c>
      <c r="H154" s="2">
        <v>0.13125000000000001</v>
      </c>
      <c r="I154" s="2">
        <v>67.921875</v>
      </c>
    </row>
    <row r="155" spans="1:11" x14ac:dyDescent="0.25">
      <c r="D155" t="s">
        <v>312</v>
      </c>
      <c r="E155" s="7" t="s">
        <v>317</v>
      </c>
      <c r="F155" s="32">
        <v>15315.75</v>
      </c>
      <c r="G155" s="7" t="s">
        <v>314</v>
      </c>
      <c r="H155" s="28">
        <v>1.96875E-2</v>
      </c>
      <c r="I155" s="28">
        <v>301.52882812500002</v>
      </c>
    </row>
    <row r="156" spans="1:11" x14ac:dyDescent="0.25">
      <c r="D156" t="s">
        <v>312</v>
      </c>
      <c r="E156" t="s">
        <v>318</v>
      </c>
      <c r="F156">
        <v>4166</v>
      </c>
      <c r="G156" t="s">
        <v>319</v>
      </c>
      <c r="H156" s="2">
        <v>0.984375</v>
      </c>
      <c r="I156" s="2">
        <v>4100.90625</v>
      </c>
    </row>
    <row r="157" spans="1:11" x14ac:dyDescent="0.25">
      <c r="D157" t="s">
        <v>312</v>
      </c>
      <c r="E157" t="s">
        <v>320</v>
      </c>
      <c r="F157">
        <v>4166</v>
      </c>
      <c r="G157" t="s">
        <v>319</v>
      </c>
      <c r="H157" s="2">
        <v>0.39374999999999999</v>
      </c>
      <c r="I157" s="2">
        <v>1640.3625</v>
      </c>
    </row>
    <row r="158" spans="1:11" x14ac:dyDescent="0.25">
      <c r="D158" t="s">
        <v>312</v>
      </c>
      <c r="E158" t="s">
        <v>321</v>
      </c>
      <c r="F158" s="30">
        <v>10892.699999999999</v>
      </c>
      <c r="G158" t="s">
        <v>319</v>
      </c>
      <c r="H158" s="2">
        <v>0.62343749999999998</v>
      </c>
      <c r="I158" s="2">
        <v>6790.9176562499988</v>
      </c>
    </row>
    <row r="159" spans="1:11" x14ac:dyDescent="0.25">
      <c r="D159" t="s">
        <v>312</v>
      </c>
      <c r="E159" t="s">
        <v>322</v>
      </c>
      <c r="G159" t="s">
        <v>319</v>
      </c>
      <c r="H159" s="2">
        <v>0</v>
      </c>
      <c r="I159" s="2">
        <v>0</v>
      </c>
    </row>
    <row r="160" spans="1:11" x14ac:dyDescent="0.25">
      <c r="D160" t="s">
        <v>312</v>
      </c>
      <c r="E160" t="s">
        <v>323</v>
      </c>
      <c r="F160">
        <v>24</v>
      </c>
      <c r="G160" t="s">
        <v>319</v>
      </c>
      <c r="H160" s="2">
        <v>0.65625</v>
      </c>
      <c r="I160" s="2">
        <v>15.75</v>
      </c>
    </row>
    <row r="161" spans="4:9" x14ac:dyDescent="0.25">
      <c r="D161" t="s">
        <v>312</v>
      </c>
      <c r="E161" t="s">
        <v>324</v>
      </c>
      <c r="F161">
        <v>24</v>
      </c>
      <c r="G161" t="s">
        <v>319</v>
      </c>
      <c r="H161" s="2">
        <v>6.5625</v>
      </c>
      <c r="I161" s="2">
        <v>157.5</v>
      </c>
    </row>
    <row r="162" spans="4:9" x14ac:dyDescent="0.25">
      <c r="D162" t="s">
        <v>312</v>
      </c>
      <c r="E162" t="s">
        <v>325</v>
      </c>
      <c r="F162">
        <v>24</v>
      </c>
      <c r="G162" t="s">
        <v>319</v>
      </c>
      <c r="H162" s="2">
        <v>0.328125</v>
      </c>
      <c r="I162" s="2">
        <v>7.875</v>
      </c>
    </row>
    <row r="163" spans="4:9" x14ac:dyDescent="0.25">
      <c r="D163" t="s">
        <v>312</v>
      </c>
      <c r="E163" s="7" t="s">
        <v>326</v>
      </c>
      <c r="F163" s="7">
        <v>1</v>
      </c>
      <c r="G163" s="7" t="s">
        <v>319</v>
      </c>
      <c r="H163" s="28">
        <v>235.11206249999998</v>
      </c>
      <c r="I163" s="28">
        <v>235.11206249999998</v>
      </c>
    </row>
    <row r="164" spans="4:9" x14ac:dyDescent="0.25">
      <c r="D164" t="s">
        <v>312</v>
      </c>
      <c r="E164" t="s">
        <v>327</v>
      </c>
      <c r="F164" s="33"/>
      <c r="G164" t="s">
        <v>328</v>
      </c>
      <c r="H164" s="2">
        <v>0</v>
      </c>
      <c r="I164" s="2">
        <v>0</v>
      </c>
    </row>
    <row r="165" spans="4:9" x14ac:dyDescent="0.25">
      <c r="D165" t="s">
        <v>312</v>
      </c>
      <c r="E165" t="s">
        <v>329</v>
      </c>
      <c r="F165" s="33"/>
      <c r="G165" t="s">
        <v>328</v>
      </c>
      <c r="H165" s="2">
        <v>0</v>
      </c>
      <c r="I165" s="2">
        <v>0</v>
      </c>
    </row>
    <row r="166" spans="4:9" x14ac:dyDescent="0.25">
      <c r="D166" t="s">
        <v>312</v>
      </c>
      <c r="E166" t="s">
        <v>330</v>
      </c>
      <c r="F166" s="34">
        <v>5218.6999999999989</v>
      </c>
      <c r="G166" t="s">
        <v>328</v>
      </c>
      <c r="H166" s="2">
        <v>3.2812500000000001E-2</v>
      </c>
      <c r="I166" s="2">
        <v>171.23859374999995</v>
      </c>
    </row>
    <row r="167" spans="4:9" x14ac:dyDescent="0.25">
      <c r="D167" t="s">
        <v>312</v>
      </c>
      <c r="E167" t="s">
        <v>331</v>
      </c>
      <c r="F167" s="34">
        <v>148.5</v>
      </c>
      <c r="G167" t="s">
        <v>328</v>
      </c>
      <c r="H167" s="2">
        <v>1.3125</v>
      </c>
      <c r="I167" s="2">
        <v>194.90625</v>
      </c>
    </row>
    <row r="168" spans="4:9" x14ac:dyDescent="0.25">
      <c r="D168" t="s">
        <v>312</v>
      </c>
      <c r="E168" t="s">
        <v>332</v>
      </c>
      <c r="F168" s="34">
        <v>211.6</v>
      </c>
      <c r="G168" t="s">
        <v>328</v>
      </c>
      <c r="H168" s="2">
        <v>9.8437500000000001E-3</v>
      </c>
      <c r="I168" s="2">
        <v>2.0829374999999999</v>
      </c>
    </row>
    <row r="169" spans="4:9" x14ac:dyDescent="0.25">
      <c r="D169" t="s">
        <v>312</v>
      </c>
      <c r="E169" t="s">
        <v>333</v>
      </c>
      <c r="F169" s="34">
        <v>1980.3</v>
      </c>
      <c r="G169" t="s">
        <v>328</v>
      </c>
      <c r="H169" s="2">
        <v>9.8437500000000001E-3</v>
      </c>
      <c r="I169" s="2">
        <v>19.493578124999999</v>
      </c>
    </row>
    <row r="170" spans="4:9" x14ac:dyDescent="0.25">
      <c r="D170" t="s">
        <v>312</v>
      </c>
      <c r="E170" t="s">
        <v>334</v>
      </c>
      <c r="F170" s="34">
        <v>5377.4</v>
      </c>
      <c r="G170" t="s">
        <v>328</v>
      </c>
      <c r="H170" s="2">
        <v>9.8437500000000001E-3</v>
      </c>
      <c r="I170" s="2">
        <v>52.933781249999996</v>
      </c>
    </row>
    <row r="171" spans="4:9" x14ac:dyDescent="0.25">
      <c r="D171" t="s">
        <v>312</v>
      </c>
      <c r="E171" t="s">
        <v>335</v>
      </c>
      <c r="F171" s="34"/>
      <c r="G171" t="s">
        <v>328</v>
      </c>
      <c r="H171" s="2">
        <v>0</v>
      </c>
      <c r="I171" s="2">
        <v>0</v>
      </c>
    </row>
    <row r="172" spans="4:9" x14ac:dyDescent="0.25">
      <c r="D172" t="s">
        <v>312</v>
      </c>
      <c r="E172" t="s">
        <v>336</v>
      </c>
      <c r="F172" s="34"/>
      <c r="G172" t="s">
        <v>328</v>
      </c>
      <c r="H172" s="2">
        <v>0</v>
      </c>
      <c r="I172" s="2">
        <v>0</v>
      </c>
    </row>
    <row r="173" spans="4:9" x14ac:dyDescent="0.25">
      <c r="D173" t="s">
        <v>312</v>
      </c>
      <c r="E173" t="s">
        <v>337</v>
      </c>
      <c r="F173" s="34">
        <v>9189.4500000000007</v>
      </c>
      <c r="G173" t="s">
        <v>328</v>
      </c>
      <c r="H173" s="2">
        <v>9.8437500000000001E-3</v>
      </c>
      <c r="I173" s="2">
        <v>90.458648437500017</v>
      </c>
    </row>
    <row r="174" spans="4:9" x14ac:dyDescent="0.25">
      <c r="D174" t="s">
        <v>312</v>
      </c>
      <c r="E174" t="s">
        <v>338</v>
      </c>
      <c r="F174" s="34">
        <v>5346</v>
      </c>
      <c r="G174" t="s">
        <v>328</v>
      </c>
      <c r="H174" s="2">
        <v>9.8437500000000001E-3</v>
      </c>
      <c r="I174" s="2">
        <v>52.6246875</v>
      </c>
    </row>
    <row r="175" spans="4:9" x14ac:dyDescent="0.25">
      <c r="D175" t="s">
        <v>312</v>
      </c>
      <c r="E175" t="s">
        <v>339</v>
      </c>
      <c r="F175" s="34">
        <v>98115.190000000017</v>
      </c>
      <c r="G175" t="s">
        <v>328</v>
      </c>
      <c r="H175" s="2">
        <v>1.96875E-2</v>
      </c>
      <c r="I175" s="2">
        <v>1931.6428031250002</v>
      </c>
    </row>
    <row r="176" spans="4:9" x14ac:dyDescent="0.25">
      <c r="D176" t="s">
        <v>312</v>
      </c>
      <c r="E176" t="s">
        <v>340</v>
      </c>
      <c r="F176" s="34">
        <v>9076</v>
      </c>
      <c r="G176" t="s">
        <v>328</v>
      </c>
      <c r="H176" s="2">
        <v>0.26250000000000001</v>
      </c>
      <c r="I176" s="2">
        <v>2382.4499999999998</v>
      </c>
    </row>
    <row r="177" spans="4:9" x14ac:dyDescent="0.25">
      <c r="D177" t="s">
        <v>312</v>
      </c>
      <c r="E177" t="s">
        <v>341</v>
      </c>
      <c r="F177" s="34">
        <v>7750.9800000000014</v>
      </c>
      <c r="G177" t="s">
        <v>328</v>
      </c>
      <c r="H177" s="2">
        <v>3.9375E-2</v>
      </c>
      <c r="I177" s="2">
        <v>305.19483750000006</v>
      </c>
    </row>
    <row r="178" spans="4:9" x14ac:dyDescent="0.25">
      <c r="D178" t="s">
        <v>312</v>
      </c>
      <c r="E178" t="s">
        <v>342</v>
      </c>
      <c r="F178" s="34">
        <v>2292</v>
      </c>
      <c r="G178" t="s">
        <v>328</v>
      </c>
      <c r="H178" s="2">
        <v>9.8437499999999997E-2</v>
      </c>
      <c r="I178" s="2">
        <v>225.61875000000001</v>
      </c>
    </row>
    <row r="179" spans="4:9" x14ac:dyDescent="0.25">
      <c r="D179" t="s">
        <v>312</v>
      </c>
      <c r="E179" t="s">
        <v>343</v>
      </c>
      <c r="F179" s="34">
        <v>5218.6999999999989</v>
      </c>
      <c r="G179" t="s">
        <v>328</v>
      </c>
      <c r="H179" s="2">
        <v>6.5625000000000003E-2</v>
      </c>
      <c r="I179" s="2">
        <v>342.4771874999999</v>
      </c>
    </row>
    <row r="180" spans="4:9" x14ac:dyDescent="0.25">
      <c r="D180" t="s">
        <v>312</v>
      </c>
      <c r="E180" t="s">
        <v>344</v>
      </c>
      <c r="F180" s="34">
        <v>2609.3499999999995</v>
      </c>
      <c r="G180" t="s">
        <v>328</v>
      </c>
      <c r="H180" s="2">
        <v>3.9375E-2</v>
      </c>
      <c r="I180" s="2">
        <v>102.74315624999997</v>
      </c>
    </row>
    <row r="181" spans="4:9" x14ac:dyDescent="0.25">
      <c r="D181" t="s">
        <v>312</v>
      </c>
      <c r="E181" t="s">
        <v>345</v>
      </c>
      <c r="F181" s="34">
        <v>9983.600000000004</v>
      </c>
      <c r="G181" t="s">
        <v>328</v>
      </c>
      <c r="H181" s="2">
        <v>9.8437500000000001E-3</v>
      </c>
      <c r="I181" s="2">
        <v>98.276062500000037</v>
      </c>
    </row>
    <row r="182" spans="4:9" x14ac:dyDescent="0.25">
      <c r="D182" t="s">
        <v>312</v>
      </c>
      <c r="E182" t="s">
        <v>346</v>
      </c>
      <c r="F182" s="34">
        <v>62.10000000000003</v>
      </c>
      <c r="G182" t="s">
        <v>328</v>
      </c>
      <c r="H182" s="2">
        <v>6.5625000000000003E-2</v>
      </c>
      <c r="I182" s="2">
        <v>4.0753125000000017</v>
      </c>
    </row>
    <row r="183" spans="4:9" x14ac:dyDescent="0.25">
      <c r="D183" t="s">
        <v>312</v>
      </c>
      <c r="E183" t="s">
        <v>347</v>
      </c>
      <c r="F183" s="34">
        <v>871.2</v>
      </c>
      <c r="G183" t="s">
        <v>328</v>
      </c>
      <c r="H183" s="2">
        <v>6.5625000000000003E-2</v>
      </c>
      <c r="I183" s="2">
        <v>57.172499999999999</v>
      </c>
    </row>
    <row r="184" spans="4:9" x14ac:dyDescent="0.25">
      <c r="D184" t="s">
        <v>312</v>
      </c>
      <c r="E184" t="s">
        <v>348</v>
      </c>
      <c r="F184" s="34">
        <v>126.5</v>
      </c>
      <c r="G184" t="s">
        <v>328</v>
      </c>
      <c r="H184" s="2">
        <v>6.5625000000000003E-2</v>
      </c>
      <c r="I184" s="2">
        <v>8.3015624999999993</v>
      </c>
    </row>
    <row r="185" spans="4:9" x14ac:dyDescent="0.25">
      <c r="D185" t="s">
        <v>312</v>
      </c>
      <c r="E185" t="s">
        <v>349</v>
      </c>
      <c r="F185" s="34"/>
      <c r="G185" t="s">
        <v>328</v>
      </c>
      <c r="H185" s="2">
        <v>0</v>
      </c>
      <c r="I185" s="2">
        <v>0</v>
      </c>
    </row>
    <row r="186" spans="4:9" x14ac:dyDescent="0.25">
      <c r="D186" t="s">
        <v>312</v>
      </c>
      <c r="E186" t="s">
        <v>350</v>
      </c>
      <c r="F186" s="34">
        <v>167.244</v>
      </c>
      <c r="G186" t="s">
        <v>328</v>
      </c>
      <c r="H186" s="2">
        <v>1.3125</v>
      </c>
      <c r="I186" s="2">
        <v>219.50775000000002</v>
      </c>
    </row>
    <row r="187" spans="4:9" x14ac:dyDescent="0.25">
      <c r="D187" t="s">
        <v>312</v>
      </c>
      <c r="E187" t="s">
        <v>351</v>
      </c>
      <c r="F187" s="34">
        <v>2382.4499999999998</v>
      </c>
      <c r="G187" t="s">
        <v>328</v>
      </c>
      <c r="H187" s="2">
        <v>0.19687499999999999</v>
      </c>
      <c r="I187" s="2">
        <v>469.04484374999998</v>
      </c>
    </row>
    <row r="188" spans="4:9" x14ac:dyDescent="0.25">
      <c r="D188" t="s">
        <v>312</v>
      </c>
      <c r="E188" t="s">
        <v>352</v>
      </c>
      <c r="F188" s="34">
        <v>4538</v>
      </c>
      <c r="G188" t="s">
        <v>328</v>
      </c>
      <c r="H188" s="2">
        <v>6.5625000000000003E-2</v>
      </c>
      <c r="I188" s="2">
        <v>297.80624999999998</v>
      </c>
    </row>
    <row r="189" spans="4:9" x14ac:dyDescent="0.25">
      <c r="D189" t="s">
        <v>312</v>
      </c>
      <c r="E189" s="7" t="s">
        <v>353</v>
      </c>
      <c r="F189" s="35">
        <v>4407.8224</v>
      </c>
      <c r="G189" s="7" t="s">
        <v>328</v>
      </c>
      <c r="H189" s="28">
        <v>3.2812500000000001E-2</v>
      </c>
      <c r="I189" s="28">
        <v>144.63167250000001</v>
      </c>
    </row>
    <row r="190" spans="4:9" x14ac:dyDescent="0.25">
      <c r="D190" t="s">
        <v>312</v>
      </c>
      <c r="E190" s="5" t="s">
        <v>354</v>
      </c>
      <c r="F190" s="36"/>
      <c r="G190" s="5" t="s">
        <v>355</v>
      </c>
      <c r="H190" s="8">
        <v>0</v>
      </c>
      <c r="I190" s="8">
        <v>0</v>
      </c>
    </row>
    <row r="191" spans="4:9" x14ac:dyDescent="0.25">
      <c r="D191" t="s">
        <v>312</v>
      </c>
      <c r="E191" t="s">
        <v>356</v>
      </c>
      <c r="F191" s="37"/>
      <c r="G191" t="s">
        <v>355</v>
      </c>
      <c r="H191" s="27">
        <v>0</v>
      </c>
      <c r="I191" s="27">
        <v>0</v>
      </c>
    </row>
    <row r="192" spans="4:9" x14ac:dyDescent="0.25">
      <c r="D192" t="s">
        <v>312</v>
      </c>
      <c r="E192" t="s">
        <v>357</v>
      </c>
      <c r="F192" s="37"/>
      <c r="G192" t="s">
        <v>355</v>
      </c>
      <c r="H192" s="27">
        <v>0</v>
      </c>
      <c r="I192" s="27">
        <v>0</v>
      </c>
    </row>
    <row r="193" spans="4:9" x14ac:dyDescent="0.25">
      <c r="D193" t="s">
        <v>312</v>
      </c>
      <c r="E193" t="s">
        <v>358</v>
      </c>
      <c r="F193" s="37">
        <v>11880</v>
      </c>
      <c r="G193" t="s">
        <v>355</v>
      </c>
      <c r="H193" s="27">
        <v>0.13125000000000001</v>
      </c>
      <c r="I193" s="27">
        <v>1559.25</v>
      </c>
    </row>
    <row r="194" spans="4:9" x14ac:dyDescent="0.25">
      <c r="D194" t="s">
        <v>312</v>
      </c>
      <c r="E194" t="s">
        <v>359</v>
      </c>
      <c r="F194" s="37"/>
      <c r="G194" t="s">
        <v>355</v>
      </c>
      <c r="H194" s="27">
        <v>0</v>
      </c>
      <c r="I194" s="27">
        <v>0</v>
      </c>
    </row>
    <row r="195" spans="4:9" x14ac:dyDescent="0.25">
      <c r="D195" t="s">
        <v>312</v>
      </c>
      <c r="E195" t="s">
        <v>360</v>
      </c>
      <c r="F195" s="37">
        <v>660</v>
      </c>
      <c r="G195" t="s">
        <v>355</v>
      </c>
      <c r="H195" s="27">
        <v>0.3125</v>
      </c>
      <c r="I195" s="27">
        <v>206.25</v>
      </c>
    </row>
    <row r="196" spans="4:9" x14ac:dyDescent="0.25">
      <c r="D196" t="s">
        <v>312</v>
      </c>
      <c r="E196" t="s">
        <v>361</v>
      </c>
      <c r="F196" s="37">
        <v>660</v>
      </c>
      <c r="G196" t="s">
        <v>355</v>
      </c>
      <c r="H196" s="27">
        <v>0.625</v>
      </c>
      <c r="I196" s="27">
        <v>412.5</v>
      </c>
    </row>
    <row r="197" spans="4:9" x14ac:dyDescent="0.25">
      <c r="D197" t="s">
        <v>312</v>
      </c>
      <c r="E197" t="s">
        <v>362</v>
      </c>
      <c r="F197" s="37">
        <v>660</v>
      </c>
      <c r="G197" t="s">
        <v>355</v>
      </c>
      <c r="H197" s="27">
        <v>6.25E-2</v>
      </c>
      <c r="I197" s="27">
        <v>41.25</v>
      </c>
    </row>
    <row r="198" spans="4:9" x14ac:dyDescent="0.25">
      <c r="D198" t="s">
        <v>312</v>
      </c>
      <c r="E198" t="s">
        <v>363</v>
      </c>
      <c r="F198" s="37">
        <v>0</v>
      </c>
      <c r="G198" t="s">
        <v>355</v>
      </c>
      <c r="H198" s="27">
        <v>0</v>
      </c>
      <c r="I198" s="27">
        <v>0</v>
      </c>
    </row>
    <row r="199" spans="4:9" x14ac:dyDescent="0.25">
      <c r="D199" t="s">
        <v>312</v>
      </c>
      <c r="E199" t="s">
        <v>364</v>
      </c>
      <c r="F199" s="37">
        <v>238.245</v>
      </c>
      <c r="G199" t="s">
        <v>355</v>
      </c>
      <c r="H199" s="27">
        <v>0.13125000000000001</v>
      </c>
      <c r="I199" s="27">
        <v>31.269656250000004</v>
      </c>
    </row>
    <row r="200" spans="4:9" x14ac:dyDescent="0.25">
      <c r="D200" t="s">
        <v>312</v>
      </c>
      <c r="E200" t="s">
        <v>365</v>
      </c>
      <c r="F200" s="37">
        <v>476.1</v>
      </c>
      <c r="G200" t="s">
        <v>355</v>
      </c>
      <c r="H200" s="27">
        <v>9.8437500000000001E-3</v>
      </c>
      <c r="I200" s="27">
        <v>4.6866093750000006</v>
      </c>
    </row>
    <row r="201" spans="4:9" x14ac:dyDescent="0.25">
      <c r="D201" t="s">
        <v>312</v>
      </c>
      <c r="E201" s="7" t="s">
        <v>366</v>
      </c>
      <c r="F201" s="35">
        <v>8247.75</v>
      </c>
      <c r="G201" s="7" t="s">
        <v>355</v>
      </c>
      <c r="H201" s="28">
        <v>9.8437500000000001E-3</v>
      </c>
      <c r="I201" s="28">
        <v>81.188789062500007</v>
      </c>
    </row>
    <row r="202" spans="4:9" x14ac:dyDescent="0.25">
      <c r="D202" t="s">
        <v>312</v>
      </c>
      <c r="E202" s="5" t="s">
        <v>367</v>
      </c>
      <c r="F202" s="38">
        <v>19224</v>
      </c>
      <c r="G202" s="5" t="s">
        <v>368</v>
      </c>
      <c r="H202" s="8">
        <v>9.8437500000000001E-3</v>
      </c>
      <c r="I202" s="8">
        <v>189.23625000000001</v>
      </c>
    </row>
    <row r="203" spans="4:9" x14ac:dyDescent="0.25">
      <c r="D203" t="s">
        <v>312</v>
      </c>
      <c r="E203" t="s">
        <v>369</v>
      </c>
      <c r="F203" s="30">
        <v>16020</v>
      </c>
      <c r="G203" t="s">
        <v>368</v>
      </c>
      <c r="H203" s="27">
        <v>9.8437500000000001E-3</v>
      </c>
      <c r="I203" s="27">
        <v>157.69687500000001</v>
      </c>
    </row>
    <row r="204" spans="4:9" x14ac:dyDescent="0.25">
      <c r="D204" t="s">
        <v>312</v>
      </c>
      <c r="E204" t="s">
        <v>370</v>
      </c>
      <c r="F204" s="30">
        <v>7484.3999999999987</v>
      </c>
      <c r="G204" t="s">
        <v>368</v>
      </c>
      <c r="H204" s="27">
        <v>9.8437500000000001E-3</v>
      </c>
      <c r="I204" s="27">
        <v>73.674562499999979</v>
      </c>
    </row>
    <row r="205" spans="4:9" x14ac:dyDescent="0.25">
      <c r="D205" t="s">
        <v>312</v>
      </c>
      <c r="E205" t="s">
        <v>371</v>
      </c>
      <c r="F205" s="30"/>
      <c r="G205" t="s">
        <v>368</v>
      </c>
      <c r="H205" s="27">
        <v>0</v>
      </c>
      <c r="I205" s="27">
        <v>0</v>
      </c>
    </row>
    <row r="206" spans="4:9" x14ac:dyDescent="0.25">
      <c r="D206" t="s">
        <v>312</v>
      </c>
      <c r="E206" t="s">
        <v>372</v>
      </c>
      <c r="F206" s="30"/>
      <c r="G206" t="s">
        <v>368</v>
      </c>
      <c r="H206" s="27">
        <v>0</v>
      </c>
      <c r="I206" s="27">
        <v>0</v>
      </c>
    </row>
    <row r="207" spans="4:9" x14ac:dyDescent="0.25">
      <c r="D207" t="s">
        <v>312</v>
      </c>
      <c r="E207" t="s">
        <v>373</v>
      </c>
      <c r="F207" s="30"/>
      <c r="G207" t="s">
        <v>368</v>
      </c>
      <c r="H207" s="27">
        <v>0</v>
      </c>
      <c r="I207" s="27">
        <v>0</v>
      </c>
    </row>
    <row r="208" spans="4:9" x14ac:dyDescent="0.25">
      <c r="D208" t="s">
        <v>312</v>
      </c>
      <c r="E208" s="7" t="s">
        <v>374</v>
      </c>
      <c r="F208" s="32">
        <v>1311.45</v>
      </c>
      <c r="G208" s="7" t="s">
        <v>368</v>
      </c>
      <c r="H208" s="28">
        <v>0.984375</v>
      </c>
      <c r="I208" s="28">
        <v>1290.9585937500001</v>
      </c>
    </row>
    <row r="209" spans="1:11" x14ac:dyDescent="0.25">
      <c r="D209" t="s">
        <v>312</v>
      </c>
      <c r="E209" s="5" t="s">
        <v>375</v>
      </c>
      <c r="F209" s="5">
        <v>4</v>
      </c>
      <c r="G209" s="5" t="s">
        <v>376</v>
      </c>
      <c r="H209" s="8">
        <v>26.25</v>
      </c>
      <c r="I209" s="8">
        <v>105</v>
      </c>
    </row>
    <row r="210" spans="1:11" x14ac:dyDescent="0.25">
      <c r="D210" t="s">
        <v>312</v>
      </c>
      <c r="E210" t="s">
        <v>377</v>
      </c>
      <c r="F210">
        <v>1</v>
      </c>
      <c r="G210" t="s">
        <v>376</v>
      </c>
      <c r="H210" s="27">
        <v>164.0625</v>
      </c>
      <c r="I210" s="27">
        <v>164.0625</v>
      </c>
    </row>
    <row r="211" spans="1:11" x14ac:dyDescent="0.25">
      <c r="D211" t="s">
        <v>312</v>
      </c>
      <c r="E211" t="s">
        <v>378</v>
      </c>
      <c r="F211">
        <v>1</v>
      </c>
      <c r="G211" t="s">
        <v>376</v>
      </c>
      <c r="H211" s="27">
        <v>164.0625</v>
      </c>
      <c r="I211" s="27">
        <v>164.0625</v>
      </c>
    </row>
    <row r="212" spans="1:11" x14ac:dyDescent="0.25">
      <c r="A212" s="7"/>
      <c r="B212" s="7"/>
      <c r="C212" s="7"/>
      <c r="D212" s="7" t="s">
        <v>312</v>
      </c>
      <c r="E212" s="7" t="s">
        <v>379</v>
      </c>
      <c r="F212" s="7">
        <v>23</v>
      </c>
      <c r="G212" s="7" t="s">
        <v>376</v>
      </c>
      <c r="H212" s="28">
        <v>19.6875</v>
      </c>
      <c r="I212" s="28">
        <v>452.8125</v>
      </c>
      <c r="J212" s="7"/>
      <c r="K212" s="7"/>
    </row>
    <row r="213" spans="1:11" x14ac:dyDescent="0.25">
      <c r="D213" t="s">
        <v>380</v>
      </c>
      <c r="E213" t="s">
        <v>381</v>
      </c>
      <c r="F213" s="30">
        <v>11019.556</v>
      </c>
      <c r="G213" t="s">
        <v>314</v>
      </c>
      <c r="H213" s="2">
        <v>3.125E-2</v>
      </c>
      <c r="I213" s="2">
        <v>344.36112500000002</v>
      </c>
      <c r="J213" s="2">
        <f>SUM(I213:I251)</f>
        <v>53031.601475000003</v>
      </c>
      <c r="K213" s="8">
        <f>(J213/$I$329)*100</f>
        <v>10.382795368153744</v>
      </c>
    </row>
    <row r="214" spans="1:11" x14ac:dyDescent="0.25">
      <c r="D214" t="s">
        <v>380</v>
      </c>
      <c r="E214" t="s">
        <v>382</v>
      </c>
      <c r="F214" s="30">
        <v>16529.333999999999</v>
      </c>
      <c r="G214" t="s">
        <v>314</v>
      </c>
      <c r="H214" s="2">
        <v>3.125E-2</v>
      </c>
      <c r="I214" s="2">
        <v>516.54168749999997</v>
      </c>
    </row>
    <row r="215" spans="1:11" x14ac:dyDescent="0.25">
      <c r="D215" t="s">
        <v>380</v>
      </c>
      <c r="E215" t="s">
        <v>383</v>
      </c>
      <c r="F215" s="30">
        <v>4407.8224</v>
      </c>
      <c r="G215" t="s">
        <v>314</v>
      </c>
      <c r="H215" s="2">
        <v>0.21875</v>
      </c>
      <c r="I215" s="2">
        <v>964.21115000000009</v>
      </c>
    </row>
    <row r="216" spans="1:11" x14ac:dyDescent="0.25">
      <c r="D216" t="s">
        <v>380</v>
      </c>
      <c r="E216" s="7" t="s">
        <v>384</v>
      </c>
      <c r="F216" s="32">
        <v>1101.9556</v>
      </c>
      <c r="G216" s="7" t="s">
        <v>314</v>
      </c>
      <c r="H216" s="28">
        <v>0.28125</v>
      </c>
      <c r="I216" s="28">
        <v>309.92501250000004</v>
      </c>
    </row>
    <row r="217" spans="1:11" x14ac:dyDescent="0.25">
      <c r="D217" t="s">
        <v>380</v>
      </c>
      <c r="E217" t="s">
        <v>385</v>
      </c>
      <c r="G217" t="s">
        <v>319</v>
      </c>
      <c r="H217" s="2">
        <v>0</v>
      </c>
      <c r="I217" s="2">
        <v>0</v>
      </c>
    </row>
    <row r="218" spans="1:11" x14ac:dyDescent="0.25">
      <c r="D218" t="s">
        <v>380</v>
      </c>
      <c r="E218" t="s">
        <v>386</v>
      </c>
      <c r="G218" t="s">
        <v>319</v>
      </c>
      <c r="H218" s="2">
        <v>0</v>
      </c>
      <c r="I218" s="2">
        <v>0</v>
      </c>
    </row>
    <row r="219" spans="1:11" x14ac:dyDescent="0.25">
      <c r="D219" t="s">
        <v>380</v>
      </c>
      <c r="E219" t="s">
        <v>387</v>
      </c>
      <c r="G219" t="s">
        <v>319</v>
      </c>
      <c r="H219" s="2">
        <v>0</v>
      </c>
      <c r="I219" s="2">
        <v>0</v>
      </c>
    </row>
    <row r="220" spans="1:11" x14ac:dyDescent="0.25">
      <c r="D220" t="s">
        <v>380</v>
      </c>
      <c r="E220" t="s">
        <v>388</v>
      </c>
      <c r="F220">
        <v>1</v>
      </c>
      <c r="G220" t="s">
        <v>319</v>
      </c>
      <c r="H220" s="2">
        <v>937.5</v>
      </c>
      <c r="I220" s="2">
        <v>937.5</v>
      </c>
    </row>
    <row r="221" spans="1:11" x14ac:dyDescent="0.25">
      <c r="D221" t="s">
        <v>380</v>
      </c>
      <c r="E221" t="s">
        <v>389</v>
      </c>
      <c r="G221" t="s">
        <v>319</v>
      </c>
      <c r="H221" s="2">
        <v>0</v>
      </c>
      <c r="I221" s="2">
        <v>0</v>
      </c>
    </row>
    <row r="222" spans="1:11" x14ac:dyDescent="0.25">
      <c r="D222" t="s">
        <v>380</v>
      </c>
      <c r="E222" t="s">
        <v>390</v>
      </c>
      <c r="G222" t="s">
        <v>319</v>
      </c>
      <c r="H222" s="2">
        <v>0</v>
      </c>
      <c r="I222" s="2">
        <v>0</v>
      </c>
    </row>
    <row r="223" spans="1:11" x14ac:dyDescent="0.25">
      <c r="D223" t="s">
        <v>380</v>
      </c>
      <c r="E223" t="s">
        <v>391</v>
      </c>
      <c r="F223">
        <v>23</v>
      </c>
      <c r="G223" t="s">
        <v>319</v>
      </c>
      <c r="H223" s="2">
        <v>15.625</v>
      </c>
      <c r="I223" s="2">
        <v>359.375</v>
      </c>
    </row>
    <row r="224" spans="1:11" x14ac:dyDescent="0.25">
      <c r="D224" t="s">
        <v>380</v>
      </c>
      <c r="E224" t="s">
        <v>392</v>
      </c>
      <c r="F224">
        <v>510</v>
      </c>
      <c r="G224" t="s">
        <v>319</v>
      </c>
      <c r="H224" s="2">
        <v>0.9375</v>
      </c>
      <c r="I224" s="2">
        <v>478.125</v>
      </c>
    </row>
    <row r="225" spans="4:9" x14ac:dyDescent="0.25">
      <c r="D225" t="s">
        <v>380</v>
      </c>
      <c r="E225" t="s">
        <v>393</v>
      </c>
      <c r="F225">
        <v>510</v>
      </c>
      <c r="G225" t="s">
        <v>319</v>
      </c>
      <c r="H225" s="2">
        <v>6.25E-2</v>
      </c>
      <c r="I225" s="2">
        <v>31.875</v>
      </c>
    </row>
    <row r="226" spans="4:9" x14ac:dyDescent="0.25">
      <c r="D226" t="s">
        <v>380</v>
      </c>
      <c r="E226" t="s">
        <v>171</v>
      </c>
      <c r="F226">
        <v>510</v>
      </c>
      <c r="G226" t="s">
        <v>319</v>
      </c>
      <c r="H226" s="2">
        <v>0.9375</v>
      </c>
      <c r="I226" s="2">
        <v>478.125</v>
      </c>
    </row>
    <row r="227" spans="4:9" x14ac:dyDescent="0.25">
      <c r="D227" t="s">
        <v>380</v>
      </c>
      <c r="E227" t="s">
        <v>394</v>
      </c>
      <c r="F227">
        <v>23</v>
      </c>
      <c r="G227" t="s">
        <v>319</v>
      </c>
      <c r="H227" s="2">
        <v>15.625</v>
      </c>
      <c r="I227" s="2">
        <v>359.375</v>
      </c>
    </row>
    <row r="228" spans="4:9" x14ac:dyDescent="0.25">
      <c r="D228" t="s">
        <v>380</v>
      </c>
      <c r="E228" t="s">
        <v>392</v>
      </c>
      <c r="F228">
        <v>765</v>
      </c>
      <c r="G228" t="s">
        <v>319</v>
      </c>
      <c r="H228" s="2">
        <v>0.9375</v>
      </c>
      <c r="I228" s="2">
        <v>717.1875</v>
      </c>
    </row>
    <row r="229" spans="4:9" x14ac:dyDescent="0.25">
      <c r="D229" t="s">
        <v>380</v>
      </c>
      <c r="E229" t="s">
        <v>393</v>
      </c>
      <c r="F229">
        <v>765</v>
      </c>
      <c r="G229" t="s">
        <v>319</v>
      </c>
      <c r="H229" s="2">
        <v>6.25E-2</v>
      </c>
      <c r="I229" s="2">
        <v>47.8125</v>
      </c>
    </row>
    <row r="230" spans="4:9" x14ac:dyDescent="0.25">
      <c r="D230" t="s">
        <v>380</v>
      </c>
      <c r="E230" t="s">
        <v>171</v>
      </c>
      <c r="F230">
        <v>765</v>
      </c>
      <c r="G230" t="s">
        <v>319</v>
      </c>
      <c r="H230" s="2">
        <v>0.9375</v>
      </c>
      <c r="I230" s="2">
        <v>717.1875</v>
      </c>
    </row>
    <row r="231" spans="4:9" x14ac:dyDescent="0.25">
      <c r="D231" t="s">
        <v>380</v>
      </c>
      <c r="E231" t="s">
        <v>395</v>
      </c>
      <c r="F231">
        <v>23</v>
      </c>
      <c r="G231" t="s">
        <v>319</v>
      </c>
      <c r="H231" s="2">
        <v>15.625</v>
      </c>
      <c r="I231" s="2">
        <v>359.375</v>
      </c>
    </row>
    <row r="232" spans="4:9" x14ac:dyDescent="0.25">
      <c r="D232" t="s">
        <v>380</v>
      </c>
      <c r="E232" t="s">
        <v>392</v>
      </c>
      <c r="F232">
        <v>1275</v>
      </c>
      <c r="G232" t="s">
        <v>319</v>
      </c>
      <c r="H232" s="2">
        <v>0.9375</v>
      </c>
      <c r="I232" s="2">
        <v>1195.3125</v>
      </c>
    </row>
    <row r="233" spans="4:9" x14ac:dyDescent="0.25">
      <c r="D233" t="s">
        <v>380</v>
      </c>
      <c r="E233" t="s">
        <v>393</v>
      </c>
      <c r="F233">
        <v>1275</v>
      </c>
      <c r="G233" t="s">
        <v>319</v>
      </c>
      <c r="H233" s="2">
        <v>6.25E-2</v>
      </c>
      <c r="I233" s="2">
        <v>79.6875</v>
      </c>
    </row>
    <row r="234" spans="4:9" x14ac:dyDescent="0.25">
      <c r="D234" t="s">
        <v>380</v>
      </c>
      <c r="E234" t="s">
        <v>171</v>
      </c>
      <c r="F234">
        <v>1275</v>
      </c>
      <c r="G234" t="s">
        <v>319</v>
      </c>
      <c r="H234" s="2">
        <v>0.9375</v>
      </c>
      <c r="I234" s="2">
        <v>1195.3125</v>
      </c>
    </row>
    <row r="235" spans="4:9" x14ac:dyDescent="0.25">
      <c r="D235" t="s">
        <v>380</v>
      </c>
      <c r="E235" t="s">
        <v>396</v>
      </c>
      <c r="F235">
        <v>23</v>
      </c>
      <c r="G235" t="s">
        <v>319</v>
      </c>
      <c r="H235" s="2">
        <v>15.625</v>
      </c>
      <c r="I235" s="2">
        <v>359.375</v>
      </c>
    </row>
    <row r="236" spans="4:9" x14ac:dyDescent="0.25">
      <c r="D236" t="s">
        <v>380</v>
      </c>
      <c r="E236" t="s">
        <v>392</v>
      </c>
      <c r="F236">
        <v>510</v>
      </c>
      <c r="G236" t="s">
        <v>319</v>
      </c>
      <c r="H236" s="2">
        <v>0.9375</v>
      </c>
      <c r="I236" s="2">
        <v>478.125</v>
      </c>
    </row>
    <row r="237" spans="4:9" x14ac:dyDescent="0.25">
      <c r="D237" t="s">
        <v>380</v>
      </c>
      <c r="E237" t="s">
        <v>393</v>
      </c>
      <c r="F237">
        <v>510</v>
      </c>
      <c r="G237" t="s">
        <v>319</v>
      </c>
      <c r="H237" s="2">
        <v>6.25E-2</v>
      </c>
      <c r="I237" s="2">
        <v>31.875</v>
      </c>
    </row>
    <row r="238" spans="4:9" x14ac:dyDescent="0.25">
      <c r="D238" t="s">
        <v>380</v>
      </c>
      <c r="E238" t="s">
        <v>171</v>
      </c>
      <c r="F238">
        <v>510</v>
      </c>
      <c r="G238" t="s">
        <v>319</v>
      </c>
      <c r="H238" s="2">
        <v>0.9375</v>
      </c>
      <c r="I238" s="2">
        <v>478.125</v>
      </c>
    </row>
    <row r="239" spans="4:9" x14ac:dyDescent="0.25">
      <c r="D239" t="s">
        <v>380</v>
      </c>
      <c r="E239" t="s">
        <v>397</v>
      </c>
      <c r="F239">
        <v>765</v>
      </c>
      <c r="G239" t="s">
        <v>319</v>
      </c>
      <c r="H239" s="2">
        <v>5.3125</v>
      </c>
      <c r="I239" s="2">
        <v>4064.0625</v>
      </c>
    </row>
    <row r="240" spans="4:9" x14ac:dyDescent="0.25">
      <c r="D240" t="s">
        <v>380</v>
      </c>
      <c r="E240" t="s">
        <v>398</v>
      </c>
      <c r="F240">
        <v>765</v>
      </c>
      <c r="G240" t="s">
        <v>319</v>
      </c>
      <c r="H240" s="2">
        <v>5.3125</v>
      </c>
      <c r="I240" s="2">
        <v>4064.0625</v>
      </c>
    </row>
    <row r="241" spans="1:11" x14ac:dyDescent="0.25">
      <c r="D241" t="s">
        <v>380</v>
      </c>
      <c r="E241" t="s">
        <v>399</v>
      </c>
      <c r="F241">
        <v>765</v>
      </c>
      <c r="G241" t="s">
        <v>319</v>
      </c>
      <c r="H241" s="2">
        <v>5.3125</v>
      </c>
      <c r="I241" s="2">
        <v>4064.0625</v>
      </c>
    </row>
    <row r="242" spans="1:11" x14ac:dyDescent="0.25">
      <c r="D242" t="s">
        <v>380</v>
      </c>
      <c r="E242" t="s">
        <v>400</v>
      </c>
      <c r="F242">
        <v>207</v>
      </c>
      <c r="G242" t="s">
        <v>319</v>
      </c>
      <c r="H242" s="2">
        <v>11.25</v>
      </c>
      <c r="I242" s="2">
        <v>2328.75</v>
      </c>
    </row>
    <row r="243" spans="1:11" x14ac:dyDescent="0.25">
      <c r="D243" t="s">
        <v>380</v>
      </c>
      <c r="E243" s="7" t="s">
        <v>401</v>
      </c>
      <c r="F243" s="7">
        <v>115</v>
      </c>
      <c r="G243" s="7" t="s">
        <v>319</v>
      </c>
      <c r="H243" s="28">
        <v>1.25</v>
      </c>
      <c r="I243" s="28">
        <v>143.75</v>
      </c>
    </row>
    <row r="244" spans="1:11" x14ac:dyDescent="0.25">
      <c r="D244" t="s">
        <v>380</v>
      </c>
      <c r="E244" t="s">
        <v>402</v>
      </c>
      <c r="F244">
        <v>1584</v>
      </c>
      <c r="G244" t="s">
        <v>368</v>
      </c>
      <c r="H244" s="2">
        <v>0.9375</v>
      </c>
      <c r="I244" s="2">
        <v>1485</v>
      </c>
    </row>
    <row r="245" spans="1:11" x14ac:dyDescent="0.25">
      <c r="D245" t="s">
        <v>380</v>
      </c>
      <c r="E245" t="s">
        <v>403</v>
      </c>
      <c r="F245">
        <v>16</v>
      </c>
      <c r="G245" t="s">
        <v>368</v>
      </c>
      <c r="H245" s="2">
        <v>137.5</v>
      </c>
      <c r="I245" s="2">
        <v>2200</v>
      </c>
    </row>
    <row r="246" spans="1:11" x14ac:dyDescent="0.25">
      <c r="D246" t="s">
        <v>380</v>
      </c>
      <c r="E246" t="s">
        <v>404</v>
      </c>
      <c r="F246">
        <v>294</v>
      </c>
      <c r="G246" t="s">
        <v>368</v>
      </c>
      <c r="H246" s="2">
        <v>0.9375</v>
      </c>
      <c r="I246" s="2">
        <v>275.625</v>
      </c>
    </row>
    <row r="247" spans="1:11" x14ac:dyDescent="0.25">
      <c r="D247" t="s">
        <v>380</v>
      </c>
      <c r="E247" t="s">
        <v>405</v>
      </c>
      <c r="F247">
        <v>156</v>
      </c>
      <c r="G247" t="s">
        <v>368</v>
      </c>
      <c r="H247" s="2">
        <v>0</v>
      </c>
      <c r="I247" s="2">
        <v>0</v>
      </c>
    </row>
    <row r="248" spans="1:11" x14ac:dyDescent="0.25">
      <c r="D248" t="s">
        <v>380</v>
      </c>
      <c r="E248" t="s">
        <v>406</v>
      </c>
      <c r="F248">
        <v>23</v>
      </c>
      <c r="G248" t="s">
        <v>368</v>
      </c>
      <c r="H248" s="2">
        <v>382.5</v>
      </c>
      <c r="I248" s="2">
        <v>8797.5</v>
      </c>
    </row>
    <row r="249" spans="1:11" x14ac:dyDescent="0.25">
      <c r="D249" t="s">
        <v>380</v>
      </c>
      <c r="E249" t="s">
        <v>407</v>
      </c>
      <c r="F249">
        <v>23</v>
      </c>
      <c r="G249" t="s">
        <v>368</v>
      </c>
      <c r="H249" s="2">
        <v>348.75</v>
      </c>
      <c r="I249" s="2">
        <v>8021.25</v>
      </c>
    </row>
    <row r="250" spans="1:11" x14ac:dyDescent="0.25">
      <c r="D250" t="s">
        <v>380</v>
      </c>
      <c r="E250" t="s">
        <v>408</v>
      </c>
      <c r="F250">
        <v>2269</v>
      </c>
      <c r="G250" t="s">
        <v>368</v>
      </c>
      <c r="H250" s="2">
        <v>1.25</v>
      </c>
      <c r="I250" s="2">
        <v>2836.25</v>
      </c>
    </row>
    <row r="251" spans="1:11" x14ac:dyDescent="0.25">
      <c r="A251" s="7"/>
      <c r="B251" s="7"/>
      <c r="C251" s="7"/>
      <c r="D251" s="7" t="s">
        <v>380</v>
      </c>
      <c r="E251" s="7" t="s">
        <v>409</v>
      </c>
      <c r="F251" s="7">
        <v>115</v>
      </c>
      <c r="G251" s="7" t="s">
        <v>368</v>
      </c>
      <c r="H251" s="28">
        <v>37.5</v>
      </c>
      <c r="I251" s="28">
        <v>4312.5</v>
      </c>
      <c r="J251" s="7"/>
      <c r="K251" s="7"/>
    </row>
    <row r="252" spans="1:11" x14ac:dyDescent="0.25">
      <c r="A252" s="5"/>
      <c r="B252" s="5"/>
      <c r="C252" s="5"/>
      <c r="D252" s="5" t="s">
        <v>410</v>
      </c>
      <c r="E252" s="5"/>
      <c r="F252" s="5"/>
      <c r="G252" s="5" t="s">
        <v>411</v>
      </c>
      <c r="H252" s="5"/>
      <c r="I252" s="8">
        <v>1167.5</v>
      </c>
      <c r="J252" s="29">
        <f>SUM(I252:I281)</f>
        <v>261729.375</v>
      </c>
      <c r="K252" s="8">
        <f>(J252/$I$329)*100</f>
        <v>51.242701839597316</v>
      </c>
    </row>
    <row r="253" spans="1:11" x14ac:dyDescent="0.25">
      <c r="D253" t="s">
        <v>410</v>
      </c>
      <c r="G253" t="s">
        <v>412</v>
      </c>
      <c r="I253" s="27">
        <v>1142.5</v>
      </c>
    </row>
    <row r="254" spans="1:11" x14ac:dyDescent="0.25">
      <c r="D254" t="s">
        <v>410</v>
      </c>
      <c r="G254" t="s">
        <v>413</v>
      </c>
      <c r="I254" s="27">
        <v>1142.5</v>
      </c>
    </row>
    <row r="255" spans="1:11" x14ac:dyDescent="0.25">
      <c r="D255" t="s">
        <v>410</v>
      </c>
      <c r="G255" t="s">
        <v>414</v>
      </c>
      <c r="I255" s="27">
        <v>300</v>
      </c>
    </row>
    <row r="256" spans="1:11" x14ac:dyDescent="0.25">
      <c r="D256" t="s">
        <v>410</v>
      </c>
      <c r="G256" t="s">
        <v>415</v>
      </c>
      <c r="I256" s="27">
        <v>174.375</v>
      </c>
    </row>
    <row r="257" spans="4:9" x14ac:dyDescent="0.25">
      <c r="D257" t="s">
        <v>410</v>
      </c>
      <c r="G257" t="s">
        <v>416</v>
      </c>
      <c r="I257" s="27">
        <v>2435</v>
      </c>
    </row>
    <row r="258" spans="4:9" x14ac:dyDescent="0.25">
      <c r="D258" t="s">
        <v>410</v>
      </c>
      <c r="G258" t="s">
        <v>417</v>
      </c>
      <c r="I258" s="27">
        <v>1396.875</v>
      </c>
    </row>
    <row r="259" spans="4:9" x14ac:dyDescent="0.25">
      <c r="D259" t="s">
        <v>410</v>
      </c>
      <c r="G259" t="s">
        <v>418</v>
      </c>
      <c r="I259" s="27">
        <v>3895.625</v>
      </c>
    </row>
    <row r="260" spans="4:9" x14ac:dyDescent="0.25">
      <c r="D260" t="s">
        <v>410</v>
      </c>
      <c r="G260" t="s">
        <v>419</v>
      </c>
      <c r="I260" s="27">
        <v>371.25</v>
      </c>
    </row>
    <row r="261" spans="4:9" x14ac:dyDescent="0.25">
      <c r="D261" t="s">
        <v>410</v>
      </c>
      <c r="G261" t="s">
        <v>420</v>
      </c>
      <c r="I261" s="27">
        <v>645</v>
      </c>
    </row>
    <row r="262" spans="4:9" x14ac:dyDescent="0.25">
      <c r="D262" t="s">
        <v>410</v>
      </c>
      <c r="G262" t="s">
        <v>421</v>
      </c>
      <c r="I262" s="27">
        <v>1003.375</v>
      </c>
    </row>
    <row r="263" spans="4:9" x14ac:dyDescent="0.25">
      <c r="D263" t="s">
        <v>410</v>
      </c>
      <c r="G263" t="s">
        <v>422</v>
      </c>
      <c r="I263" s="27">
        <v>382.5</v>
      </c>
    </row>
    <row r="264" spans="4:9" x14ac:dyDescent="0.25">
      <c r="D264" t="s">
        <v>410</v>
      </c>
      <c r="G264" t="s">
        <v>423</v>
      </c>
      <c r="I264" s="27">
        <v>18098.4375</v>
      </c>
    </row>
    <row r="265" spans="4:9" x14ac:dyDescent="0.25">
      <c r="D265" t="s">
        <v>410</v>
      </c>
      <c r="G265" t="s">
        <v>424</v>
      </c>
      <c r="I265" s="27">
        <v>7431.875</v>
      </c>
    </row>
    <row r="266" spans="4:9" x14ac:dyDescent="0.25">
      <c r="D266" t="s">
        <v>410</v>
      </c>
      <c r="G266" t="s">
        <v>425</v>
      </c>
      <c r="I266" s="27">
        <v>2292.8125</v>
      </c>
    </row>
    <row r="267" spans="4:9" x14ac:dyDescent="0.25">
      <c r="D267" t="s">
        <v>410</v>
      </c>
      <c r="G267" t="s">
        <v>426</v>
      </c>
      <c r="I267" s="27">
        <v>2292.8125</v>
      </c>
    </row>
    <row r="268" spans="4:9" x14ac:dyDescent="0.25">
      <c r="D268" t="s">
        <v>410</v>
      </c>
      <c r="G268" t="s">
        <v>427</v>
      </c>
      <c r="I268" s="27">
        <v>2202.25</v>
      </c>
    </row>
    <row r="269" spans="4:9" x14ac:dyDescent="0.25">
      <c r="D269" t="s">
        <v>410</v>
      </c>
      <c r="G269" t="s">
        <v>428</v>
      </c>
      <c r="I269" s="27">
        <v>2473.9375</v>
      </c>
    </row>
    <row r="270" spans="4:9" x14ac:dyDescent="0.25">
      <c r="D270" t="s">
        <v>410</v>
      </c>
      <c r="G270" t="s">
        <v>429</v>
      </c>
      <c r="I270" s="27">
        <v>675.625</v>
      </c>
    </row>
    <row r="271" spans="4:9" x14ac:dyDescent="0.25">
      <c r="D271" t="s">
        <v>410</v>
      </c>
      <c r="G271" t="s">
        <v>430</v>
      </c>
      <c r="I271" s="27">
        <v>1138.5</v>
      </c>
    </row>
    <row r="272" spans="4:9" x14ac:dyDescent="0.25">
      <c r="D272" t="s">
        <v>410</v>
      </c>
      <c r="G272" t="s">
        <v>431</v>
      </c>
      <c r="I272" s="27">
        <v>6523.375</v>
      </c>
    </row>
    <row r="273" spans="1:11" x14ac:dyDescent="0.25">
      <c r="D273" t="s">
        <v>410</v>
      </c>
      <c r="G273" t="s">
        <v>432</v>
      </c>
      <c r="I273" s="27">
        <v>35145</v>
      </c>
    </row>
    <row r="274" spans="1:11" x14ac:dyDescent="0.25">
      <c r="D274" t="s">
        <v>410</v>
      </c>
      <c r="G274" t="s">
        <v>433</v>
      </c>
      <c r="I274" s="27">
        <v>0</v>
      </c>
    </row>
    <row r="275" spans="1:11" x14ac:dyDescent="0.25">
      <c r="D275" t="s">
        <v>410</v>
      </c>
      <c r="G275" t="s">
        <v>434</v>
      </c>
      <c r="I275" s="27">
        <v>31556.25</v>
      </c>
    </row>
    <row r="276" spans="1:11" x14ac:dyDescent="0.25">
      <c r="D276" t="s">
        <v>410</v>
      </c>
      <c r="G276" t="s">
        <v>435</v>
      </c>
      <c r="I276" s="27">
        <v>67502.75</v>
      </c>
    </row>
    <row r="277" spans="1:11" x14ac:dyDescent="0.25">
      <c r="D277" t="s">
        <v>410</v>
      </c>
      <c r="G277" t="s">
        <v>436</v>
      </c>
      <c r="I277" s="27">
        <v>38005.75</v>
      </c>
    </row>
    <row r="278" spans="1:11" x14ac:dyDescent="0.25">
      <c r="D278" t="s">
        <v>410</v>
      </c>
      <c r="G278" t="s">
        <v>437</v>
      </c>
      <c r="I278" s="27">
        <v>30631.5</v>
      </c>
    </row>
    <row r="279" spans="1:11" x14ac:dyDescent="0.25">
      <c r="D279" t="s">
        <v>410</v>
      </c>
      <c r="G279" t="s">
        <v>438</v>
      </c>
      <c r="I279" s="27">
        <v>0</v>
      </c>
    </row>
    <row r="280" spans="1:11" x14ac:dyDescent="0.25">
      <c r="D280" t="s">
        <v>410</v>
      </c>
      <c r="G280" t="s">
        <v>439</v>
      </c>
      <c r="I280" s="27">
        <v>0</v>
      </c>
    </row>
    <row r="281" spans="1:11" x14ac:dyDescent="0.25">
      <c r="A281" s="7"/>
      <c r="B281" s="7"/>
      <c r="C281" s="7"/>
      <c r="D281" s="7" t="s">
        <v>410</v>
      </c>
      <c r="E281" s="7"/>
      <c r="F281" s="7"/>
      <c r="G281" s="7" t="s">
        <v>440</v>
      </c>
      <c r="H281" s="7"/>
      <c r="I281" s="28">
        <v>1702</v>
      </c>
      <c r="J281" s="7"/>
      <c r="K281" s="7"/>
    </row>
    <row r="282" spans="1:11" x14ac:dyDescent="0.25">
      <c r="D282" t="s">
        <v>441</v>
      </c>
      <c r="E282" t="s">
        <v>442</v>
      </c>
      <c r="F282">
        <v>12</v>
      </c>
      <c r="G282" t="s">
        <v>443</v>
      </c>
      <c r="H282" s="2">
        <v>40</v>
      </c>
      <c r="I282" s="2">
        <v>960</v>
      </c>
      <c r="J282" s="31">
        <f>SUM(I282:I328)</f>
        <v>70871.25</v>
      </c>
      <c r="K282" s="8">
        <f>(J282/$I$329)*100</f>
        <v>13.875532055771581</v>
      </c>
    </row>
    <row r="283" spans="1:11" x14ac:dyDescent="0.25">
      <c r="D283" t="s">
        <v>441</v>
      </c>
      <c r="E283" t="s">
        <v>444</v>
      </c>
      <c r="F283">
        <v>13</v>
      </c>
      <c r="G283" t="s">
        <v>443</v>
      </c>
      <c r="H283" s="2">
        <v>18.75</v>
      </c>
      <c r="I283" s="2">
        <v>487.5</v>
      </c>
    </row>
    <row r="284" spans="1:11" x14ac:dyDescent="0.25">
      <c r="D284" t="s">
        <v>441</v>
      </c>
      <c r="E284" t="s">
        <v>445</v>
      </c>
      <c r="F284">
        <v>2</v>
      </c>
      <c r="G284" t="s">
        <v>411</v>
      </c>
      <c r="H284" s="2">
        <v>28.125</v>
      </c>
      <c r="I284" s="2">
        <v>2587.5</v>
      </c>
    </row>
    <row r="285" spans="1:11" x14ac:dyDescent="0.25">
      <c r="D285" t="s">
        <v>441</v>
      </c>
      <c r="E285" t="s">
        <v>445</v>
      </c>
      <c r="F285">
        <v>2</v>
      </c>
      <c r="G285" t="s">
        <v>412</v>
      </c>
      <c r="H285" s="2">
        <v>28.125</v>
      </c>
      <c r="I285" s="2">
        <v>2531.25</v>
      </c>
    </row>
    <row r="286" spans="1:11" x14ac:dyDescent="0.25">
      <c r="D286" t="s">
        <v>441</v>
      </c>
      <c r="E286" t="s">
        <v>445</v>
      </c>
      <c r="F286">
        <v>2</v>
      </c>
      <c r="G286" t="s">
        <v>413</v>
      </c>
      <c r="H286" s="2">
        <v>28.125</v>
      </c>
      <c r="I286" s="2">
        <v>2531.25</v>
      </c>
    </row>
    <row r="287" spans="1:11" x14ac:dyDescent="0.25">
      <c r="D287" t="s">
        <v>441</v>
      </c>
      <c r="E287" t="s">
        <v>445</v>
      </c>
      <c r="F287">
        <v>6</v>
      </c>
      <c r="G287" t="s">
        <v>446</v>
      </c>
      <c r="H287" s="2">
        <v>28.125</v>
      </c>
      <c r="I287" s="2">
        <v>675</v>
      </c>
    </row>
    <row r="288" spans="1:11" x14ac:dyDescent="0.25">
      <c r="D288" t="s">
        <v>441</v>
      </c>
      <c r="E288" t="s">
        <v>445</v>
      </c>
      <c r="F288">
        <v>1</v>
      </c>
      <c r="G288" t="s">
        <v>415</v>
      </c>
      <c r="H288" s="2">
        <v>28.125</v>
      </c>
      <c r="I288" s="2">
        <v>1490.625</v>
      </c>
    </row>
    <row r="289" spans="4:9" x14ac:dyDescent="0.25">
      <c r="D289" t="s">
        <v>441</v>
      </c>
      <c r="E289" t="s">
        <v>442</v>
      </c>
      <c r="F289">
        <v>4</v>
      </c>
      <c r="G289" t="s">
        <v>447</v>
      </c>
      <c r="H289" s="2">
        <v>40</v>
      </c>
      <c r="I289" s="2">
        <v>320</v>
      </c>
    </row>
    <row r="290" spans="4:9" x14ac:dyDescent="0.25">
      <c r="D290" t="s">
        <v>441</v>
      </c>
      <c r="E290" t="s">
        <v>444</v>
      </c>
      <c r="F290">
        <v>4</v>
      </c>
      <c r="G290" t="s">
        <v>447</v>
      </c>
      <c r="H290" s="2">
        <v>18.75</v>
      </c>
      <c r="I290" s="2">
        <v>150</v>
      </c>
    </row>
    <row r="291" spans="4:9" x14ac:dyDescent="0.25">
      <c r="D291" t="s">
        <v>441</v>
      </c>
      <c r="E291" t="s">
        <v>445</v>
      </c>
      <c r="F291">
        <v>4</v>
      </c>
      <c r="G291" t="s">
        <v>447</v>
      </c>
      <c r="H291" s="2">
        <v>28.125</v>
      </c>
      <c r="I291" s="2">
        <v>5400</v>
      </c>
    </row>
    <row r="292" spans="4:9" x14ac:dyDescent="0.25">
      <c r="D292" t="s">
        <v>441</v>
      </c>
      <c r="E292" t="s">
        <v>442</v>
      </c>
      <c r="F292">
        <v>4</v>
      </c>
      <c r="G292" t="s">
        <v>448</v>
      </c>
      <c r="H292" s="2">
        <v>40</v>
      </c>
      <c r="I292" s="2">
        <v>0</v>
      </c>
    </row>
    <row r="293" spans="4:9" x14ac:dyDescent="0.25">
      <c r="D293" t="s">
        <v>441</v>
      </c>
      <c r="E293" t="s">
        <v>445</v>
      </c>
      <c r="F293">
        <v>4</v>
      </c>
      <c r="G293" t="s">
        <v>448</v>
      </c>
      <c r="H293" s="2">
        <v>28.125</v>
      </c>
      <c r="I293" s="2">
        <v>0</v>
      </c>
    </row>
    <row r="294" spans="4:9" x14ac:dyDescent="0.25">
      <c r="D294" t="s">
        <v>441</v>
      </c>
      <c r="E294" t="s">
        <v>449</v>
      </c>
      <c r="F294">
        <v>4</v>
      </c>
      <c r="G294" t="s">
        <v>448</v>
      </c>
      <c r="H294" s="2">
        <v>4.375</v>
      </c>
      <c r="I294" s="2">
        <v>0</v>
      </c>
    </row>
    <row r="295" spans="4:9" x14ac:dyDescent="0.25">
      <c r="D295" t="s">
        <v>441</v>
      </c>
      <c r="E295" t="s">
        <v>445</v>
      </c>
      <c r="F295">
        <v>5</v>
      </c>
      <c r="G295" t="s">
        <v>450</v>
      </c>
      <c r="H295" s="2">
        <v>13.125</v>
      </c>
      <c r="I295" s="2">
        <v>1181.25</v>
      </c>
    </row>
    <row r="296" spans="4:9" x14ac:dyDescent="0.25">
      <c r="D296" t="s">
        <v>441</v>
      </c>
      <c r="E296" t="s">
        <v>451</v>
      </c>
      <c r="F296">
        <v>135</v>
      </c>
      <c r="G296" t="s">
        <v>423</v>
      </c>
      <c r="H296" s="2">
        <v>7.5</v>
      </c>
      <c r="I296" s="2">
        <v>14175</v>
      </c>
    </row>
    <row r="297" spans="4:9" x14ac:dyDescent="0.25">
      <c r="D297" t="s">
        <v>441</v>
      </c>
      <c r="E297" t="s">
        <v>451</v>
      </c>
      <c r="F297">
        <v>23</v>
      </c>
      <c r="G297" t="s">
        <v>452</v>
      </c>
      <c r="H297" s="2">
        <v>7.5</v>
      </c>
      <c r="I297" s="2">
        <v>5865</v>
      </c>
    </row>
    <row r="298" spans="4:9" x14ac:dyDescent="0.25">
      <c r="D298" t="s">
        <v>441</v>
      </c>
      <c r="F298">
        <v>1</v>
      </c>
      <c r="G298" t="s">
        <v>453</v>
      </c>
      <c r="H298" s="2">
        <v>15.625</v>
      </c>
      <c r="I298" s="2">
        <v>828.125</v>
      </c>
    </row>
    <row r="299" spans="4:9" x14ac:dyDescent="0.25">
      <c r="D299" t="s">
        <v>441</v>
      </c>
      <c r="E299" t="s">
        <v>444</v>
      </c>
      <c r="F299">
        <v>3</v>
      </c>
      <c r="G299" t="s">
        <v>454</v>
      </c>
      <c r="H299" s="2">
        <v>18.75</v>
      </c>
      <c r="I299" s="2">
        <v>112.5</v>
      </c>
    </row>
    <row r="300" spans="4:9" x14ac:dyDescent="0.25">
      <c r="D300" t="s">
        <v>441</v>
      </c>
      <c r="E300" t="s">
        <v>455</v>
      </c>
      <c r="F300">
        <v>3</v>
      </c>
      <c r="G300" t="s">
        <v>454</v>
      </c>
      <c r="H300" s="2">
        <v>3.125</v>
      </c>
      <c r="I300" s="2">
        <v>496.875</v>
      </c>
    </row>
    <row r="301" spans="4:9" x14ac:dyDescent="0.25">
      <c r="D301" t="s">
        <v>441</v>
      </c>
      <c r="E301" t="s">
        <v>445</v>
      </c>
      <c r="F301">
        <v>3</v>
      </c>
      <c r="G301" t="s">
        <v>454</v>
      </c>
      <c r="H301" s="2">
        <v>28.125</v>
      </c>
      <c r="I301" s="2">
        <v>4471.875</v>
      </c>
    </row>
    <row r="302" spans="4:9" x14ac:dyDescent="0.25">
      <c r="D302" t="s">
        <v>441</v>
      </c>
      <c r="E302" t="s">
        <v>449</v>
      </c>
      <c r="F302">
        <v>3</v>
      </c>
      <c r="G302" t="s">
        <v>454</v>
      </c>
      <c r="H302" s="2">
        <v>4.375</v>
      </c>
      <c r="I302" s="2">
        <v>26.25</v>
      </c>
    </row>
    <row r="303" spans="4:9" x14ac:dyDescent="0.25">
      <c r="D303" t="s">
        <v>441</v>
      </c>
      <c r="E303" t="s">
        <v>456</v>
      </c>
      <c r="F303">
        <v>2</v>
      </c>
      <c r="G303" t="s">
        <v>457</v>
      </c>
      <c r="H303" s="2">
        <v>18.75</v>
      </c>
      <c r="I303" s="2">
        <v>75</v>
      </c>
    </row>
    <row r="304" spans="4:9" x14ac:dyDescent="0.25">
      <c r="D304" t="s">
        <v>441</v>
      </c>
      <c r="E304" t="s">
        <v>445</v>
      </c>
      <c r="F304">
        <v>2</v>
      </c>
      <c r="G304" t="s">
        <v>457</v>
      </c>
      <c r="H304" s="2">
        <v>28.125</v>
      </c>
      <c r="I304" s="2">
        <v>2981.25</v>
      </c>
    </row>
    <row r="305" spans="4:9" x14ac:dyDescent="0.25">
      <c r="D305" t="s">
        <v>441</v>
      </c>
      <c r="E305" t="s">
        <v>455</v>
      </c>
      <c r="F305">
        <v>2</v>
      </c>
      <c r="G305" t="s">
        <v>457</v>
      </c>
      <c r="H305" s="2">
        <v>3.125</v>
      </c>
      <c r="I305" s="2">
        <v>331.25</v>
      </c>
    </row>
    <row r="306" spans="4:9" x14ac:dyDescent="0.25">
      <c r="D306" t="s">
        <v>441</v>
      </c>
      <c r="E306" t="s">
        <v>449</v>
      </c>
      <c r="F306">
        <v>2</v>
      </c>
      <c r="G306" t="s">
        <v>457</v>
      </c>
      <c r="H306" s="2">
        <v>4.375</v>
      </c>
      <c r="I306" s="2">
        <v>17.5</v>
      </c>
    </row>
    <row r="307" spans="4:9" x14ac:dyDescent="0.25">
      <c r="D307" t="s">
        <v>441</v>
      </c>
      <c r="E307" t="s">
        <v>456</v>
      </c>
      <c r="F307">
        <v>3</v>
      </c>
      <c r="G307" t="s">
        <v>458</v>
      </c>
      <c r="H307" s="2">
        <v>18.75</v>
      </c>
      <c r="I307" s="2">
        <v>112.5</v>
      </c>
    </row>
    <row r="308" spans="4:9" x14ac:dyDescent="0.25">
      <c r="D308" t="s">
        <v>441</v>
      </c>
      <c r="E308" t="s">
        <v>445</v>
      </c>
      <c r="F308">
        <v>3</v>
      </c>
      <c r="G308" t="s">
        <v>458</v>
      </c>
      <c r="H308" s="2">
        <v>28.125</v>
      </c>
      <c r="I308" s="2">
        <v>4471.875</v>
      </c>
    </row>
    <row r="309" spans="4:9" x14ac:dyDescent="0.25">
      <c r="D309" t="s">
        <v>441</v>
      </c>
      <c r="E309" t="s">
        <v>455</v>
      </c>
      <c r="F309">
        <v>3</v>
      </c>
      <c r="G309" t="s">
        <v>458</v>
      </c>
      <c r="H309" s="2">
        <v>3.125</v>
      </c>
      <c r="I309" s="2">
        <v>496.875</v>
      </c>
    </row>
    <row r="310" spans="4:9" x14ac:dyDescent="0.25">
      <c r="D310" t="s">
        <v>441</v>
      </c>
      <c r="E310" t="s">
        <v>449</v>
      </c>
      <c r="F310">
        <v>3</v>
      </c>
      <c r="G310" t="s">
        <v>458</v>
      </c>
      <c r="H310" s="2">
        <v>4.375</v>
      </c>
      <c r="I310" s="2">
        <v>26.25</v>
      </c>
    </row>
    <row r="311" spans="4:9" x14ac:dyDescent="0.25">
      <c r="D311" t="s">
        <v>441</v>
      </c>
      <c r="E311" t="s">
        <v>444</v>
      </c>
      <c r="F311">
        <v>1</v>
      </c>
      <c r="G311" t="s">
        <v>459</v>
      </c>
      <c r="H311" s="2">
        <v>18.75</v>
      </c>
      <c r="I311" s="2">
        <v>37.5</v>
      </c>
    </row>
    <row r="312" spans="4:9" x14ac:dyDescent="0.25">
      <c r="D312" t="s">
        <v>441</v>
      </c>
      <c r="E312" t="s">
        <v>445</v>
      </c>
      <c r="F312">
        <v>1</v>
      </c>
      <c r="G312" t="s">
        <v>459</v>
      </c>
      <c r="H312" s="2">
        <v>28.125</v>
      </c>
      <c r="I312" s="2">
        <v>1490.625</v>
      </c>
    </row>
    <row r="313" spans="4:9" x14ac:dyDescent="0.25">
      <c r="D313" t="s">
        <v>441</v>
      </c>
      <c r="E313" t="s">
        <v>455</v>
      </c>
      <c r="F313">
        <v>1</v>
      </c>
      <c r="G313" t="s">
        <v>459</v>
      </c>
      <c r="H313" s="2">
        <v>3.125</v>
      </c>
      <c r="I313" s="2">
        <v>165.625</v>
      </c>
    </row>
    <row r="314" spans="4:9" x14ac:dyDescent="0.25">
      <c r="D314" t="s">
        <v>441</v>
      </c>
      <c r="E314" t="s">
        <v>449</v>
      </c>
      <c r="F314">
        <v>1</v>
      </c>
      <c r="G314" t="s">
        <v>459</v>
      </c>
      <c r="H314" s="2">
        <v>2.1875</v>
      </c>
      <c r="I314" s="2">
        <v>4.375</v>
      </c>
    </row>
    <row r="315" spans="4:9" x14ac:dyDescent="0.25">
      <c r="D315" t="s">
        <v>441</v>
      </c>
      <c r="E315" t="s">
        <v>444</v>
      </c>
      <c r="F315">
        <v>4</v>
      </c>
      <c r="G315" t="s">
        <v>460</v>
      </c>
      <c r="H315" s="2">
        <v>18.75</v>
      </c>
      <c r="I315" s="2">
        <v>150</v>
      </c>
    </row>
    <row r="316" spans="4:9" x14ac:dyDescent="0.25">
      <c r="D316" t="s">
        <v>441</v>
      </c>
      <c r="E316" t="s">
        <v>445</v>
      </c>
      <c r="F316">
        <v>4</v>
      </c>
      <c r="G316" t="s">
        <v>460</v>
      </c>
      <c r="H316" s="2">
        <v>28.125</v>
      </c>
      <c r="I316" s="2">
        <v>5962.5</v>
      </c>
    </row>
    <row r="317" spans="4:9" x14ac:dyDescent="0.25">
      <c r="D317" t="s">
        <v>441</v>
      </c>
      <c r="E317" t="s">
        <v>455</v>
      </c>
      <c r="F317">
        <v>4</v>
      </c>
      <c r="G317" t="s">
        <v>460</v>
      </c>
      <c r="H317" s="2">
        <v>3.125</v>
      </c>
      <c r="I317" s="2">
        <v>662.5</v>
      </c>
    </row>
    <row r="318" spans="4:9" x14ac:dyDescent="0.25">
      <c r="D318" t="s">
        <v>441</v>
      </c>
      <c r="E318" t="s">
        <v>449</v>
      </c>
      <c r="F318">
        <v>4</v>
      </c>
      <c r="G318" t="s">
        <v>460</v>
      </c>
      <c r="H318" s="2">
        <v>4.375</v>
      </c>
      <c r="I318" s="2">
        <v>35</v>
      </c>
    </row>
    <row r="319" spans="4:9" x14ac:dyDescent="0.25">
      <c r="D319" t="s">
        <v>441</v>
      </c>
      <c r="E319" t="s">
        <v>444</v>
      </c>
      <c r="F319">
        <v>3</v>
      </c>
      <c r="G319" t="s">
        <v>461</v>
      </c>
      <c r="H319" s="2">
        <v>18.75</v>
      </c>
      <c r="I319" s="2">
        <v>112.5</v>
      </c>
    </row>
    <row r="320" spans="4:9" x14ac:dyDescent="0.25">
      <c r="D320" t="s">
        <v>441</v>
      </c>
      <c r="E320" t="s">
        <v>445</v>
      </c>
      <c r="F320">
        <v>3</v>
      </c>
      <c r="G320" t="s">
        <v>461</v>
      </c>
      <c r="H320" s="2">
        <v>28.125</v>
      </c>
      <c r="I320" s="2">
        <v>4471.875</v>
      </c>
    </row>
    <row r="321" spans="1:12" x14ac:dyDescent="0.25">
      <c r="D321" t="s">
        <v>441</v>
      </c>
      <c r="E321" t="s">
        <v>455</v>
      </c>
      <c r="F321">
        <v>3</v>
      </c>
      <c r="G321" t="s">
        <v>461</v>
      </c>
      <c r="H321" s="2">
        <v>3.125</v>
      </c>
      <c r="I321" s="2">
        <v>496.875</v>
      </c>
    </row>
    <row r="322" spans="1:12" x14ac:dyDescent="0.25">
      <c r="D322" t="s">
        <v>441</v>
      </c>
      <c r="E322" t="s">
        <v>449</v>
      </c>
      <c r="F322">
        <v>3</v>
      </c>
      <c r="G322" t="s">
        <v>461</v>
      </c>
      <c r="H322" s="2">
        <v>4.375</v>
      </c>
      <c r="I322" s="2">
        <v>13.125</v>
      </c>
    </row>
    <row r="323" spans="1:12" x14ac:dyDescent="0.25">
      <c r="D323" t="s">
        <v>441</v>
      </c>
      <c r="E323" t="s">
        <v>444</v>
      </c>
      <c r="F323">
        <v>6</v>
      </c>
      <c r="G323" t="s">
        <v>462</v>
      </c>
      <c r="H323" s="2">
        <v>18.75</v>
      </c>
      <c r="I323" s="2">
        <v>225</v>
      </c>
    </row>
    <row r="324" spans="1:12" x14ac:dyDescent="0.25">
      <c r="D324" t="s">
        <v>441</v>
      </c>
      <c r="E324" t="s">
        <v>455</v>
      </c>
      <c r="F324">
        <v>6</v>
      </c>
      <c r="G324" t="s">
        <v>462</v>
      </c>
      <c r="H324" s="2">
        <v>3.125</v>
      </c>
      <c r="I324" s="2">
        <v>243.75</v>
      </c>
    </row>
    <row r="325" spans="1:12" x14ac:dyDescent="0.25">
      <c r="D325" t="s">
        <v>441</v>
      </c>
      <c r="E325" t="s">
        <v>445</v>
      </c>
      <c r="F325">
        <v>6</v>
      </c>
      <c r="G325" t="s">
        <v>462</v>
      </c>
      <c r="H325" s="2">
        <v>28.125</v>
      </c>
      <c r="I325" s="2">
        <v>2362.5</v>
      </c>
    </row>
    <row r="326" spans="1:12" x14ac:dyDescent="0.25">
      <c r="D326" t="s">
        <v>441</v>
      </c>
      <c r="E326" t="s">
        <v>444</v>
      </c>
      <c r="F326">
        <v>10</v>
      </c>
      <c r="G326" t="s">
        <v>463</v>
      </c>
      <c r="H326" s="2">
        <v>18.75</v>
      </c>
      <c r="I326" s="2">
        <v>375</v>
      </c>
    </row>
    <row r="327" spans="1:12" x14ac:dyDescent="0.25">
      <c r="D327" t="s">
        <v>441</v>
      </c>
      <c r="E327" t="s">
        <v>445</v>
      </c>
      <c r="F327">
        <v>10</v>
      </c>
      <c r="G327" t="s">
        <v>463</v>
      </c>
      <c r="H327" s="2">
        <v>28.125</v>
      </c>
      <c r="I327" s="2">
        <v>1125</v>
      </c>
    </row>
    <row r="328" spans="1:12" x14ac:dyDescent="0.25">
      <c r="A328" s="7"/>
      <c r="B328" s="7"/>
      <c r="C328" s="7"/>
      <c r="D328" s="7" t="s">
        <v>441</v>
      </c>
      <c r="E328" s="7" t="s">
        <v>464</v>
      </c>
      <c r="F328" s="7">
        <v>4</v>
      </c>
      <c r="G328" s="7" t="s">
        <v>463</v>
      </c>
      <c r="H328" s="28">
        <v>11.25</v>
      </c>
      <c r="I328" s="28">
        <v>135</v>
      </c>
      <c r="J328" s="7"/>
      <c r="K328" s="7"/>
    </row>
    <row r="329" spans="1:12" x14ac:dyDescent="0.25">
      <c r="A329" s="5"/>
      <c r="B329" s="5"/>
      <c r="C329" s="5"/>
      <c r="D329" s="5"/>
      <c r="E329" s="5"/>
      <c r="F329" s="5"/>
      <c r="G329" s="4" t="s">
        <v>135</v>
      </c>
      <c r="H329" s="5"/>
      <c r="I329" s="9">
        <f>SUM(I2:I328)</f>
        <v>510764.197835</v>
      </c>
      <c r="J329" s="5"/>
      <c r="K329" s="5"/>
      <c r="L329" s="39">
        <f>I329*0.7</f>
        <v>357534.93848449999</v>
      </c>
    </row>
    <row r="330" spans="1:12" x14ac:dyDescent="0.25">
      <c r="G330" s="1" t="s">
        <v>465</v>
      </c>
      <c r="I330" s="10">
        <v>5450844</v>
      </c>
      <c r="L330" s="39">
        <f>I330</f>
        <v>5450844</v>
      </c>
    </row>
    <row r="331" spans="1:12" x14ac:dyDescent="0.25">
      <c r="A331" s="7"/>
      <c r="B331" s="7"/>
      <c r="C331" s="7"/>
      <c r="D331" s="7"/>
      <c r="E331" s="7"/>
      <c r="F331" s="7"/>
      <c r="G331" s="11" t="s">
        <v>466</v>
      </c>
      <c r="H331" s="7"/>
      <c r="I331" s="12">
        <f>I329/I330</f>
        <v>9.3703690260627526E-2</v>
      </c>
      <c r="J331" s="7"/>
      <c r="K331" s="7"/>
      <c r="L331" s="2">
        <f>L329/L330</f>
        <v>6.5592583182439268E-2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0"/>
  <sheetViews>
    <sheetView topLeftCell="A31" workbookViewId="0">
      <selection activeCell="D51" sqref="D51"/>
    </sheetView>
  </sheetViews>
  <sheetFormatPr defaultRowHeight="15" x14ac:dyDescent="0.25"/>
  <sheetData>
    <row r="1" spans="2:7" x14ac:dyDescent="0.25">
      <c r="B1" t="s">
        <v>7</v>
      </c>
      <c r="D1" t="s">
        <v>17</v>
      </c>
      <c r="G1" t="s">
        <v>61</v>
      </c>
    </row>
    <row r="2" spans="2:7" x14ac:dyDescent="0.25">
      <c r="B2" t="s">
        <v>8</v>
      </c>
      <c r="D2" t="s">
        <v>18</v>
      </c>
      <c r="G2" t="s">
        <v>62</v>
      </c>
    </row>
    <row r="3" spans="2:7" x14ac:dyDescent="0.25">
      <c r="B3" t="s">
        <v>9</v>
      </c>
      <c r="D3" t="s">
        <v>19</v>
      </c>
      <c r="G3" t="s">
        <v>67</v>
      </c>
    </row>
    <row r="4" spans="2:7" x14ac:dyDescent="0.25">
      <c r="B4" t="s">
        <v>10</v>
      </c>
      <c r="D4" t="s">
        <v>20</v>
      </c>
      <c r="G4" t="s">
        <v>81</v>
      </c>
    </row>
    <row r="5" spans="2:7" x14ac:dyDescent="0.25">
      <c r="B5" t="s">
        <v>11</v>
      </c>
      <c r="D5" t="s">
        <v>21</v>
      </c>
      <c r="G5" t="s">
        <v>82</v>
      </c>
    </row>
    <row r="6" spans="2:7" x14ac:dyDescent="0.25">
      <c r="B6" t="s">
        <v>12</v>
      </c>
      <c r="D6" t="s">
        <v>22</v>
      </c>
      <c r="G6" t="s">
        <v>69</v>
      </c>
    </row>
    <row r="7" spans="2:7" x14ac:dyDescent="0.25">
      <c r="B7" t="s">
        <v>13</v>
      </c>
      <c r="D7" t="s">
        <v>23</v>
      </c>
      <c r="G7" t="s">
        <v>70</v>
      </c>
    </row>
    <row r="8" spans="2:7" x14ac:dyDescent="0.25">
      <c r="B8" t="s">
        <v>14</v>
      </c>
      <c r="D8" t="s">
        <v>24</v>
      </c>
      <c r="G8" t="s">
        <v>71</v>
      </c>
    </row>
    <row r="9" spans="2:7" x14ac:dyDescent="0.25">
      <c r="B9" t="s">
        <v>15</v>
      </c>
      <c r="D9" t="s">
        <v>25</v>
      </c>
      <c r="G9" t="s">
        <v>72</v>
      </c>
    </row>
    <row r="10" spans="2:7" x14ac:dyDescent="0.25">
      <c r="B10" t="s">
        <v>16</v>
      </c>
      <c r="D10" t="s">
        <v>26</v>
      </c>
      <c r="G10" t="s">
        <v>73</v>
      </c>
    </row>
    <row r="11" spans="2:7" x14ac:dyDescent="0.25">
      <c r="D11" t="s">
        <v>27</v>
      </c>
      <c r="G11" t="s">
        <v>66</v>
      </c>
    </row>
    <row r="12" spans="2:7" x14ac:dyDescent="0.25">
      <c r="D12" t="s">
        <v>28</v>
      </c>
      <c r="G12" t="s">
        <v>63</v>
      </c>
    </row>
    <row r="13" spans="2:7" x14ac:dyDescent="0.25">
      <c r="D13" t="s">
        <v>29</v>
      </c>
      <c r="G13" t="s">
        <v>64</v>
      </c>
    </row>
    <row r="14" spans="2:7" x14ac:dyDescent="0.25">
      <c r="D14" t="s">
        <v>30</v>
      </c>
      <c r="G14" t="s">
        <v>65</v>
      </c>
    </row>
    <row r="15" spans="2:7" x14ac:dyDescent="0.25">
      <c r="D15" t="s">
        <v>31</v>
      </c>
      <c r="G15" t="s">
        <v>68</v>
      </c>
    </row>
    <row r="16" spans="2:7" x14ac:dyDescent="0.25">
      <c r="D16" t="s">
        <v>32</v>
      </c>
    </row>
    <row r="17" spans="4:4" x14ac:dyDescent="0.25">
      <c r="D17" t="s">
        <v>33</v>
      </c>
    </row>
    <row r="18" spans="4:4" x14ac:dyDescent="0.25">
      <c r="D18" t="s">
        <v>34</v>
      </c>
    </row>
    <row r="19" spans="4:4" x14ac:dyDescent="0.25">
      <c r="D19" t="s">
        <v>35</v>
      </c>
    </row>
    <row r="20" spans="4:4" x14ac:dyDescent="0.25">
      <c r="D20" t="s">
        <v>36</v>
      </c>
    </row>
    <row r="21" spans="4:4" x14ac:dyDescent="0.25">
      <c r="D21" t="s">
        <v>37</v>
      </c>
    </row>
    <row r="22" spans="4:4" x14ac:dyDescent="0.25">
      <c r="D22" t="s">
        <v>38</v>
      </c>
    </row>
    <row r="23" spans="4:4" x14ac:dyDescent="0.25">
      <c r="D23" t="s">
        <v>39</v>
      </c>
    </row>
    <row r="24" spans="4:4" x14ac:dyDescent="0.25">
      <c r="D24" t="s">
        <v>40</v>
      </c>
    </row>
    <row r="25" spans="4:4" x14ac:dyDescent="0.25">
      <c r="D25" t="s">
        <v>41</v>
      </c>
    </row>
    <row r="26" spans="4:4" x14ac:dyDescent="0.25">
      <c r="D26" t="s">
        <v>42</v>
      </c>
    </row>
    <row r="27" spans="4:4" x14ac:dyDescent="0.25">
      <c r="D27" t="s">
        <v>43</v>
      </c>
    </row>
    <row r="28" spans="4:4" x14ac:dyDescent="0.25">
      <c r="D28" t="s">
        <v>44</v>
      </c>
    </row>
    <row r="29" spans="4:4" x14ac:dyDescent="0.25">
      <c r="D29" t="s">
        <v>45</v>
      </c>
    </row>
    <row r="30" spans="4:4" x14ac:dyDescent="0.25">
      <c r="D30" t="s">
        <v>46</v>
      </c>
    </row>
    <row r="31" spans="4:4" x14ac:dyDescent="0.25">
      <c r="D31" t="s">
        <v>47</v>
      </c>
    </row>
    <row r="32" spans="4:4" x14ac:dyDescent="0.25">
      <c r="D32" t="s">
        <v>48</v>
      </c>
    </row>
    <row r="33" spans="4:4" x14ac:dyDescent="0.25">
      <c r="D33" t="s">
        <v>49</v>
      </c>
    </row>
    <row r="34" spans="4:4" x14ac:dyDescent="0.25">
      <c r="D34" t="s">
        <v>50</v>
      </c>
    </row>
    <row r="35" spans="4:4" x14ac:dyDescent="0.25">
      <c r="D35" t="s">
        <v>51</v>
      </c>
    </row>
    <row r="36" spans="4:4" x14ac:dyDescent="0.25">
      <c r="D36" t="s">
        <v>52</v>
      </c>
    </row>
    <row r="37" spans="4:4" x14ac:dyDescent="0.25">
      <c r="D37" t="s">
        <v>53</v>
      </c>
    </row>
    <row r="38" spans="4:4" x14ac:dyDescent="0.25">
      <c r="D38" t="s">
        <v>54</v>
      </c>
    </row>
    <row r="39" spans="4:4" x14ac:dyDescent="0.25">
      <c r="D39" t="s">
        <v>55</v>
      </c>
    </row>
    <row r="40" spans="4:4" x14ac:dyDescent="0.25">
      <c r="D40" t="s">
        <v>56</v>
      </c>
    </row>
    <row r="41" spans="4:4" x14ac:dyDescent="0.25">
      <c r="D41" t="s">
        <v>57</v>
      </c>
    </row>
    <row r="42" spans="4:4" x14ac:dyDescent="0.25">
      <c r="D42" t="s">
        <v>58</v>
      </c>
    </row>
    <row r="43" spans="4:4" x14ac:dyDescent="0.25">
      <c r="D43" t="s">
        <v>59</v>
      </c>
    </row>
    <row r="44" spans="4:4" x14ac:dyDescent="0.25">
      <c r="D44" t="s">
        <v>60</v>
      </c>
    </row>
    <row r="45" spans="4:4" x14ac:dyDescent="0.25">
      <c r="D45" t="s">
        <v>79</v>
      </c>
    </row>
    <row r="46" spans="4:4" x14ac:dyDescent="0.25">
      <c r="D46" t="s">
        <v>80</v>
      </c>
    </row>
    <row r="47" spans="4:4" x14ac:dyDescent="0.25">
      <c r="D47" t="s">
        <v>84</v>
      </c>
    </row>
    <row r="48" spans="4:4" x14ac:dyDescent="0.25">
      <c r="D48" t="s">
        <v>85</v>
      </c>
    </row>
    <row r="49" spans="4:4" x14ac:dyDescent="0.25">
      <c r="D49" t="s">
        <v>86</v>
      </c>
    </row>
    <row r="50" spans="4:4" x14ac:dyDescent="0.25">
      <c r="D5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unit_cost_data</vt:lpstr>
      <vt:lpstr>smc-linelisting</vt:lpstr>
      <vt:lpstr>itn-linelisting</vt:lpstr>
      <vt:lpstr>list-items-ignore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</dc:creator>
  <cp:lastModifiedBy>Hayley Thompson</cp:lastModifiedBy>
  <dcterms:created xsi:type="dcterms:W3CDTF">2025-02-21T22:36:34Z</dcterms:created>
  <dcterms:modified xsi:type="dcterms:W3CDTF">2025-05-19T19:29:51Z</dcterms:modified>
</cp:coreProperties>
</file>